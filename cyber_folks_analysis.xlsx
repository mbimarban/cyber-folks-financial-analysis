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ard Summary" sheetId="1" state="visible" r:id="rId3"/>
    <sheet name="KPI Dashboard" sheetId="2" state="visible" r:id="rId4"/>
    <sheet name="EBITDA→FCF Bridge" sheetId="3" state="visible" r:id="rId5"/>
    <sheet name="M&amp;A Impact" sheetId="4" state="visible" r:id="rId6"/>
    <sheet name="Debt &amp; Liquidity" sheetId="5" state="visible" r:id="rId7"/>
    <sheet name="Data Gaps" sheetId="6" state="visible" r:id="rId8"/>
    <sheet name="Source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<sst xmlns="http://schemas.openxmlformats.org/spreadsheetml/2006/main" count="396" uniqueCount="234">
  <si>
    <t xml:space="preserve">cyber_Folks Group (GPW: CBF)  ·  CFO Board Report</t>
  </si>
  <si>
    <t xml:space="preserve">Okres analizy: 2023–2025  ·  Raport przygotowany dla Zarządu  ·  Źródło: Raporty roczne CBF</t>
  </si>
  <si>
    <t xml:space="preserve">  KLUCZOWE KPI — SNAPSHOT 2025</t>
  </si>
  <si>
    <t xml:space="preserve">KPI</t>
  </si>
  <si>
    <t xml:space="preserve">2024</t>
  </si>
  <si>
    <t xml:space="preserve">2025</t>
  </si>
  <si>
    <t xml:space="preserve">Trend</t>
  </si>
  <si>
    <t xml:space="preserve">Status</t>
  </si>
  <si>
    <t xml:space="preserve">Wniosek zarządczy</t>
  </si>
  <si>
    <t xml:space="preserve">Revenue growth (YoY)</t>
  </si>
  <si>
    <t xml:space="preserve">30.3%</t>
  </si>
  <si>
    <t xml:space="preserve">→</t>
  </si>
  <si>
    <t xml:space="preserve">OK</t>
  </si>
  <si>
    <t xml:space="preserve">Wzrost organiczny wspierany integracją Shoper. Tempo do utrzymania.</t>
  </si>
  <si>
    <t xml:space="preserve">Adj. EBITDA margin</t>
  </si>
  <si>
    <t xml:space="preserve">26.7%</t>
  </si>
  <si>
    <t xml:space="preserve">34.1%</t>
  </si>
  <si>
    <t xml:space="preserve">↑</t>
  </si>
  <si>
    <t xml:space="preserve">Poprawa o 7.4 pp YoY — efekt skali i synergii operacyjnych.</t>
  </si>
  <si>
    <t xml:space="preserve">CFO / Adj. EBITDA</t>
  </si>
  <si>
    <t xml:space="preserve">107.0%</t>
  </si>
  <si>
    <t xml:space="preserve">89.5%</t>
  </si>
  <si>
    <t xml:space="preserve">↓</t>
  </si>
  <si>
    <t xml:space="preserve">Monitor</t>
  </si>
  <si>
    <t xml:space="preserve">Konwersja gotówki nadal wysoka, ale spadek wymaga monitorowania WC.</t>
  </si>
  <si>
    <t xml:space="preserve">Net Debt / Adj. EBITDA</t>
  </si>
  <si>
    <t xml:space="preserve">0.50x</t>
  </si>
  <si>
    <t xml:space="preserve">1.25x</t>
  </si>
  <si>
    <t xml:space="preserve">Dźwignia wzrosła po przejęciach. Nadal bezpieczna, lecz wymaga nadzoru.</t>
  </si>
  <si>
    <t xml:space="preserve">Levered FCF (tys. PLN)</t>
  </si>
  <si>
    <t xml:space="preserve">64 200</t>
  </si>
  <si>
    <t xml:space="preserve">60 300</t>
  </si>
  <si>
    <t xml:space="preserve">FCF po obsłudze długu spada mimo wyższego EBITDA — koszt dźwigni widoczny.</t>
  </si>
  <si>
    <t xml:space="preserve">  KLUCZOWE POZYTYWNE SYGNAŁY</t>
  </si>
  <si>
    <t xml:space="preserve">✓  Wysoka jakość gotówki operacyjnej</t>
  </si>
  <si>
    <t xml:space="preserve">CFO/EBITDA &gt;89% przez 3 lata z rzędu — przychody przekładają się na gotówkę bez zniekształceń.</t>
  </si>
  <si>
    <t xml:space="preserve">✓  Poprawa marży EBITDA do 34.1%</t>
  </si>
  <si>
    <t xml:space="preserve">Model asset-light skaluje się efektywnie; wzrost przychodów +30% przy EBITDA +66%.</t>
  </si>
  <si>
    <t xml:space="preserve">✓  Stabilna baza deferred revenue</t>
  </si>
  <si>
    <t xml:space="preserve">Zobowiązania kontraktowe jako wskaźnik wyprzedającej sprzedaży — bufor przychodów przyszłych períod.</t>
  </si>
  <si>
    <t xml:space="preserve">  KLUCZOWE RYZYKA DO MONITOROWANIA</t>
  </si>
  <si>
    <t xml:space="preserve">⚠  Net Debt/EBITDA wzrósł do 1.25x</t>
  </si>
  <si>
    <t xml:space="preserve">Przejęcia Shoper i PrestaShop zwiększyły dźwignię. Wzrost kosztów finansowania obniża LFCF.</t>
  </si>
  <si>
    <t xml:space="preserve">⚠  Levered FCF spada mimo rosnącego EBITDA</t>
  </si>
  <si>
    <t xml:space="preserve">Obsługa długu pochłania coraz więcej gotówki po capex. Ryzyko pogorszenia przy wzroście stóp.</t>
  </si>
  <si>
    <t xml:space="preserve">⚠  Brak danych o retencji i organic growth</t>
  </si>
  <si>
    <t xml:space="preserve">Bez NRR, churn i podziału organic/M&amp;A zarząd nie może ocenić jakości wzrostu.</t>
  </si>
  <si>
    <t xml:space="preserve">  REKOMENDACJE ZARZĄDCZE</t>
  </si>
  <si>
    <t xml:space="preserve">→  Monitorować Net Debt/EBITDA kwartalnie</t>
  </si>
  <si>
    <t xml:space="preserve">Ustalić wewnętrzny covenant ≤2.0x. Każde przejęcie powinno zawierać plan delewarowania.</t>
  </si>
  <si>
    <t xml:space="preserve">→  Wprowadzić reporting Levered FCF i FCF Yield</t>
  </si>
  <si>
    <t xml:space="preserve">CFO powinien raportować FCF po odsetkach jako KPI nr 1 — odzwierciedla realną wartość dla akcjonariuszy.</t>
  </si>
  <si>
    <t xml:space="preserve">→  Uzupełnić luki danych: NRR, churn, organic growth</t>
  </si>
  <si>
    <t xml:space="preserve">Bez tych metryk ocena jakości wzrostu jest niepełna. Odpowiedzialność: Dyrektor IR + Controlling.</t>
  </si>
  <si>
    <t xml:space="preserve">WNIOSEK ZARZĄDCZY:  Zarząd powinien priorytetowo monitorować Levered FCF oraz Net Debt/EBITDA w procesie integracji Shoper i PrestaShop. Rdzenny model operacyjny jest zdrowy — wyzwanie to efektywna alokacja kapitału poakwizycyjnego.</t>
  </si>
  <si>
    <t xml:space="preserve">cyber_Folks — KPI Dashboard  ·  2023–2025</t>
  </si>
  <si>
    <t xml:space="preserve">2023</t>
  </si>
  <si>
    <t xml:space="preserve">Management implication</t>
  </si>
  <si>
    <t xml:space="preserve">  WZROST I RENTOWNOŚĆ</t>
  </si>
  <si>
    <t xml:space="preserve">Revenue (mln PLN)</t>
  </si>
  <si>
    <t xml:space="preserve">Wzrost CAGR 33.6%. M&amp;A przyspiesza skalę.</t>
  </si>
  <si>
    <t xml:space="preserve">Revenue growth (YoY %)</t>
  </si>
  <si>
    <t xml:space="preserve">—</t>
  </si>
  <si>
    <t xml:space="preserve">Wzrost zwalnia — weryfikować organic vs M&amp;A split.</t>
  </si>
  <si>
    <t xml:space="preserve">Adj. EBITDA (mln PLN)</t>
  </si>
  <si>
    <t xml:space="preserve">EBITDA +66% YoY — skokowa poprawa marży.</t>
  </si>
  <si>
    <t xml:space="preserve">Marża powyżej 34% — efekt dźwigni operacyjnej.</t>
  </si>
  <si>
    <t xml:space="preserve">Net income (mln PLN)</t>
  </si>
  <si>
    <t xml:space="preserve">Spadek NI przy rosnącym EBITDA — PPA amortyzacja po M&amp;A.</t>
  </si>
  <si>
    <t xml:space="preserve">  JAKOŚĆ I TRWAŁOŚĆ GOTÓWKI</t>
  </si>
  <si>
    <t xml:space="preserve">CFO (mln PLN)</t>
  </si>
  <si>
    <t xml:space="preserve">Rosnący CFO potwierdza jakość przychodów.</t>
  </si>
  <si>
    <t xml:space="preserve">Spadek do 89.5% — wzrost WC po przejęciach wymaga uwagi.</t>
  </si>
  <si>
    <t xml:space="preserve">Unlevered FCF (mln PLN)</t>
  </si>
  <si>
    <t xml:space="preserve">UFCF rośnie — core model generuje gotówkę po capex.</t>
  </si>
  <si>
    <t xml:space="preserve">FCF / Adj. EBITDA</t>
  </si>
  <si>
    <t xml:space="preserve">Kapex rośnie szybciej niż EBITDA. Monitorować capex intensity.</t>
  </si>
  <si>
    <t xml:space="preserve">Levered FCF (mln PLN)</t>
  </si>
  <si>
    <t xml:space="preserve">FCF po obsłudze długu spada — bezpośredni efekt dźwigni M&amp;A.</t>
  </si>
  <si>
    <t xml:space="preserve">  DŹWIGNIA I STRUKTURA DŁUGU</t>
  </si>
  <si>
    <t xml:space="preserve">Net Debt (mln PLN)</t>
  </si>
  <si>
    <t xml:space="preserve">Net Debt skoczył 4.2x po przejęciach 2024/2025.</t>
  </si>
  <si>
    <t xml:space="preserve">1.25x — przestrzeń do dalszych przejęć maleje.</t>
  </si>
  <si>
    <t xml:space="preserve">Interest / CFO (est.)</t>
  </si>
  <si>
    <t xml:space="preserve">Obsługa odsetkowa pochłania ~19% CFO — trend wzrostowy.</t>
  </si>
  <si>
    <t xml:space="preserve">  PŁYNNOŚĆ</t>
  </si>
  <si>
    <t xml:space="preserve">Current Ratio</t>
  </si>
  <si>
    <t xml:space="preserve">Data gap</t>
  </si>
  <si>
    <t xml:space="preserve">Brak danych bilansowych do obliczenia wskaźnika.</t>
  </si>
  <si>
    <t xml:space="preserve">Cash Ratio</t>
  </si>
  <si>
    <t xml:space="preserve">Wymagane dane o środkach pieniężnych z bilansu.</t>
  </si>
  <si>
    <t xml:space="preserve">Deferred rev. / Curr. liab.</t>
  </si>
  <si>
    <t xml:space="preserve">Kontrakty przedpłacone jako bufor płynnościowy — dane do uzupełnienia.</t>
  </si>
  <si>
    <t xml:space="preserve">  WPŁYW M&amp;A</t>
  </si>
  <si>
    <t xml:space="preserve">Organic revenue growth</t>
  </si>
  <si>
    <t xml:space="preserve">Kluczowy wskaźnik: jak szybko rośnie rdzeń bez przejęć?</t>
  </si>
  <si>
    <t xml:space="preserve">Goodwill / Total assets</t>
  </si>
  <si>
    <t xml:space="preserve">Koncentracja wartości niematerialnych — ryzyko odpisu.</t>
  </si>
  <si>
    <t xml:space="preserve">PPA amortisation (est.)</t>
  </si>
  <si>
    <t xml:space="preserve">Tłumi EBIT i NI — niezbędne do oceny zniekształceń wyniku.</t>
  </si>
  <si>
    <t xml:space="preserve">cyber_Folks — EBITDA → CFO → Levered FCF Bridge  (tys. PLN)</t>
  </si>
  <si>
    <t xml:space="preserve">Pozycja</t>
  </si>
  <si>
    <t xml:space="preserve">Zmiana 24→25</t>
  </si>
  <si>
    <t xml:space="preserve">  EBITDA → CFO</t>
  </si>
  <si>
    <t xml:space="preserve">Adj. EBITDA</t>
  </si>
  <si>
    <t xml:space="preserve">(-) Podatek dochodowy (est.)</t>
  </si>
  <si>
    <t xml:space="preserve">(±) Zmiany WC i pozostałe</t>
  </si>
  <si>
    <t xml:space="preserve">▸ CFO (Cash from Operations)</t>
  </si>
  <si>
    <t xml:space="preserve">  CFO → Unlevered FCF</t>
  </si>
  <si>
    <t xml:space="preserve">(-) Capex (utrzymanie + rozwój)</t>
  </si>
  <si>
    <t xml:space="preserve">▸ Unlevered FCF</t>
  </si>
  <si>
    <t xml:space="preserve">  Unlevered FCF → Levered FCF</t>
  </si>
  <si>
    <t xml:space="preserve">(-) Odsetki netto (est.)</t>
  </si>
  <si>
    <t xml:space="preserve">(-) Spłata długu / inne fin.</t>
  </si>
  <si>
    <t xml:space="preserve">▸ Levered FCF</t>
  </si>
  <si>
    <t xml:space="preserve">  WSKAŹNIKI JAKOŚCI</t>
  </si>
  <si>
    <t xml:space="preserve">Capex intensity (Capex/Rev.)</t>
  </si>
  <si>
    <t xml:space="preserve">Interpretacja: Wysoka konwersja EBITDA→CFO (&gt;89%) potwierdza jakość przychodów. Wzrost Net Debt w 2025 i rosnące koszty odsetkowe obniżają Levered FCF mimo wzrostu Unlevered FCF — kluczowe pytanie: czy EBITDA z przejęć odrośnie szybciej niż koszty dźwigni?</t>
  </si>
  <si>
    <t xml:space="preserve">cyber_Folks — M&amp;A Impact Analysis  ·  Shoper &amp; PrestaShop</t>
  </si>
  <si>
    <t xml:space="preserve">Pre-M&amp;A
(2023)</t>
  </si>
  <si>
    <t xml:space="preserve">Post-M&amp;A
(2024)</t>
  </si>
  <si>
    <t xml:space="preserve">Post-M&amp;A
(2025)</t>
  </si>
  <si>
    <t xml:space="preserve">Komentarz zarządczy</t>
  </si>
  <si>
    <t xml:space="preserve">  WPŁYW NA WYNIK I GOTÓWKĘ</t>
  </si>
  <si>
    <t xml:space="preserve">Adj. EBITDA (tys. PLN)</t>
  </si>
  <si>
    <t xml:space="preserve">Wzrost EBITDA +66% YoY 2025 — częściowo efekt konsolidacji Shoper.</t>
  </si>
  <si>
    <t xml:space="preserve">Net Income (tys. PLN)</t>
  </si>
  <si>
    <t xml:space="preserve">NI spada przy rosnącym EBITDA — PPA amortyzacja istotnie obciąża wynik netto.</t>
  </si>
  <si>
    <t xml:space="preserve">LFCF stabilny, ale rosnące odsetki ograniczają poprawę. Trend do monitorowania.</t>
  </si>
  <si>
    <t xml:space="preserve">  STRUKTURA KAPITAŁOWA PO PRZEJĘCIACH</t>
  </si>
  <si>
    <t xml:space="preserve">Net Debt (tys. PLN)</t>
  </si>
  <si>
    <t xml:space="preserve">Dług wzrósł 4.2x — przejęcia sfinansowane w głównej mierze kredytem.</t>
  </si>
  <si>
    <t xml:space="preserve">n/a</t>
  </si>
  <si>
    <t xml:space="preserve">Dźwignia rośnie. Bezpieczna poniżej 2.5x — obecny poziom daje komfort.</t>
  </si>
  <si>
    <t xml:space="preserve">Szac. koszty odsetkowe (tys. PLN)</t>
  </si>
  <si>
    <t xml:space="preserve">Wzrost ~5x w 2 lata — efekt wzrostu długu i poziomu stóp procentowych.</t>
  </si>
  <si>
    <t xml:space="preserve">  OCENA RYZYKA INTEGRACYJNEGO</t>
  </si>
  <si>
    <t xml:space="preserve">BRAK DANYCH. Wymagane do oceny ryzyka odpisu wartości firmy.</t>
  </si>
  <si>
    <t xml:space="preserve">PPA amortisation est.</t>
  </si>
  <si>
    <t xml:space="preserve">BRAK DANYCH. Bez tego nie można oddzielić organicznego EBIT od księgowego.</t>
  </si>
  <si>
    <t xml:space="preserve">BRAK DANYCH. Kluczowe pytanie zarządcze — ile wzrostu bez akwizycji?</t>
  </si>
  <si>
    <t xml:space="preserve">  SCENARIUSZ DEZLEWAROWANIA</t>
  </si>
  <si>
    <t xml:space="preserve">EBITDA potrzebna do Net Debt/EBITDA ≤1.0x</t>
  </si>
  <si>
    <t xml:space="preserve">Przy obecnym długu: EBITDA ≥363.9 mln PLN lub spłata długu o ~71 mln PLN.</t>
  </si>
  <si>
    <t xml:space="preserve">Lat do Net Debt/EBITDA ≤1.0x (est.)</t>
  </si>
  <si>
    <t xml:space="preserve">Zależy od FCF przeznaczonego na spłatę vs reinwestycje — decyzja Zarządu.</t>
  </si>
  <si>
    <t xml:space="preserve">cyber_Folks — Debt &amp; Liquidity Analysis</t>
  </si>
  <si>
    <t xml:space="preserve">Komentarz</t>
  </si>
  <si>
    <t xml:space="preserve">  ZADŁUŻENIE</t>
  </si>
  <si>
    <t xml:space="preserve">Wzrost driven przejęciami. Dług brutto ~440 mln szacunkowo.</t>
  </si>
  <si>
    <t xml:space="preserve">Poniżej progu ostrzegawczego 2.0x — komfort buforowy.</t>
  </si>
  <si>
    <t xml:space="preserve">Szac. odsetki / CFO</t>
  </si>
  <si>
    <t xml:space="preserve">Wzrost do 19% — obsługa długu istotniejsza niż w 2023.</t>
  </si>
  <si>
    <t xml:space="preserve">EBITDA Interest Coverage (est.)</t>
  </si>
  <si>
    <t xml:space="preserve">Pokrycie odsetkowe EBITDA 5.8x — bezpieczne, lecz malejące.</t>
  </si>
  <si>
    <t xml:space="preserve">  PŁYNNOŚĆ (DANE SZACUNKOWE / LUKI)</t>
  </si>
  <si>
    <t xml:space="preserve">Wymagane dane bilansowe. Dla SaaS: Current Ratio &lt;1 normalny przez deferred rev.</t>
  </si>
  <si>
    <t xml:space="preserve">Adj. Current Ratio (ex. deferred rev.)</t>
  </si>
  <si>
    <t xml:space="preserve">Kluczowy dla spółek SaaS — eliminuje zobowiązania kontraktowe.</t>
  </si>
  <si>
    <t xml:space="preserve">Środki pieniężne / zobow. krótkoterminowe. Wymagane do oceny.</t>
  </si>
  <si>
    <t xml:space="preserve">Udział przychodów odroczonych w zobow. bieżących.</t>
  </si>
  <si>
    <t xml:space="preserve">  PROFIL SPŁATY DŁUGU (SZACUNEK)</t>
  </si>
  <si>
    <t xml:space="preserve">Dług krótkoterminowy (tys.)</t>
  </si>
  <si>
    <t xml:space="preserve">Harmonogram spłat niezbędny do oceny refinancing risk.</t>
  </si>
  <si>
    <t xml:space="preserve">Dług długoterminowy (tys.)</t>
  </si>
  <si>
    <t xml:space="preserve">Struktura terminowa wpływa na rating i koszt kapitału.</t>
  </si>
  <si>
    <t xml:space="preserve">Kowenant Net Debt/EBITDA (typowy)</t>
  </si>
  <si>
    <t xml:space="preserve">≤2.5x</t>
  </si>
  <si>
    <t xml:space="preserve">Standardowy kowenant bankowy dla spółek platformowych.</t>
  </si>
  <si>
    <t xml:space="preserve">Headroom do kowenantu</t>
  </si>
  <si>
    <t xml:space="preserve">Przy 1.25x vs ≤2.5x: bufor wynosi ~1.25x EBITDA (~363 mln PLN).</t>
  </si>
  <si>
    <t xml:space="preserve">cyber_Folks — Information Gaps Limiting Assessment</t>
  </si>
  <si>
    <t xml:space="preserve">Missing KPI</t>
  </si>
  <si>
    <t xml:space="preserve">Why it matters</t>
  </si>
  <si>
    <t xml:space="preserve">Required owner</t>
  </si>
  <si>
    <t xml:space="preserve">Reporting frequency</t>
  </si>
  <si>
    <t xml:space="preserve">Net Revenue Retention (NRR)</t>
  </si>
  <si>
    <t xml:space="preserve">Mierzy jakość wzrostu: ile z istniejących klientów zostaje i płaci więcej. Kluczowe dla wyceny SaaS.</t>
  </si>
  <si>
    <t xml:space="preserve">Dyrektor ds. Produktu / Controlling</t>
  </si>
  <si>
    <t xml:space="preserve">Kwartalnie</t>
  </si>
  <si>
    <t xml:space="preserve">Churn rate (klientów i MRR)</t>
  </si>
  <si>
    <t xml:space="preserve">Bez churn nie można odróżnić wzrostu od zastępowania odchodzących klientów nowymi.</t>
  </si>
  <si>
    <t xml:space="preserve">Dyrektor ds. Sprzedaży / CRM</t>
  </si>
  <si>
    <t xml:space="preserve">Miesięcznie</t>
  </si>
  <si>
    <t xml:space="preserve">Organic vs M&amp;A revenue split</t>
  </si>
  <si>
    <t xml:space="preserve">Zarząd i inwestorzy muszą wiedzieć, ile wzrostu pochodzi z rdzenia, a ile z akwizycji.</t>
  </si>
  <si>
    <t xml:space="preserve">CFO / Controlling</t>
  </si>
  <si>
    <t xml:space="preserve">PPA amortisation (kwota)</t>
  </si>
  <si>
    <t xml:space="preserve">Bez tego nie można ocenić zniekształcenia EBIT/NI po przejęciach. Wymagane przez MSSF 3.</t>
  </si>
  <si>
    <t xml:space="preserve">CFO / Auditor</t>
  </si>
  <si>
    <t xml:space="preserve">Rocznie (nota w sprawozdaniu)</t>
  </si>
  <si>
    <t xml:space="preserve">Goodwill i wartości niematerialne / Total assets</t>
  </si>
  <si>
    <t xml:space="preserve">Koncentracja aktywów niematerialnych = ryzyko impairment. Istotne dla analizy bilansu.</t>
  </si>
  <si>
    <t xml:space="preserve">Dyrektor Finansowy</t>
  </si>
  <si>
    <t xml:space="preserve">Rocznie</t>
  </si>
  <si>
    <t xml:space="preserve">Current Ratio i Cash Ratio</t>
  </si>
  <si>
    <t xml:space="preserve">Bez danych bilansowych (aktywa/pasywa bieżące) nie można ocenić płynności krótkoterminowej.</t>
  </si>
  <si>
    <t xml:space="preserve">Controlling / IR</t>
  </si>
  <si>
    <t xml:space="preserve">Deferred revenue (kwota)</t>
  </si>
  <si>
    <t xml:space="preserve">Zobowiązania kontraktowe jako wskaźnik wyprzedzający sprzedaży i bufor płynnościowy.</t>
  </si>
  <si>
    <t xml:space="preserve">Controlling</t>
  </si>
  <si>
    <t xml:space="preserve">ARPU (Average Revenue Per User)</t>
  </si>
  <si>
    <t xml:space="preserve">Śledzi trend cenowy i mix produktowy. Istotne dla modelowania wzrostu organicznego.</t>
  </si>
  <si>
    <t xml:space="preserve">Dyrektor ds. Produktu</t>
  </si>
  <si>
    <t xml:space="preserve">Capex podział: maintenance vs growth</t>
  </si>
  <si>
    <t xml:space="preserve">Bez podziału nie można ocenić, ile capex jest obligatoryjne, a ile inwestycyjne.</t>
  </si>
  <si>
    <t xml:space="preserve">Dyrektor Inwestycji / CFO</t>
  </si>
  <si>
    <t xml:space="preserve">Harmonogram spłaty długu</t>
  </si>
  <si>
    <t xml:space="preserve">Profil spłat decyduje o refinancing risk i presji na FCF w kolejnych latach.</t>
  </si>
  <si>
    <t xml:space="preserve">CFO / Treasury</t>
  </si>
  <si>
    <t xml:space="preserve">Rocznie (nota do sprawozdania)</t>
  </si>
  <si>
    <t xml:space="preserve">Source Data — cyber_Folks SA  ·  Dane bazowe (tys. PLN)</t>
  </si>
  <si>
    <t xml:space="preserve">Źródło</t>
  </si>
  <si>
    <t xml:space="preserve">  RACHUNEK WYNIKÓW</t>
  </si>
  <si>
    <t xml:space="preserve">Przychody ze sprzedaży</t>
  </si>
  <si>
    <t xml:space="preserve">Raporty roczne cyber_Folks SA — GPW: CBF</t>
  </si>
  <si>
    <t xml:space="preserve">Wynik netto (total)</t>
  </si>
  <si>
    <t xml:space="preserve">Wynik netto (na akcjonariuszy)</t>
  </si>
  <si>
    <t xml:space="preserve">  CASH FLOW</t>
  </si>
  <si>
    <t xml:space="preserve">CFO (przepływy operacyjne)</t>
  </si>
  <si>
    <t xml:space="preserve">Capex (szacunek CFO-UFCF)</t>
  </si>
  <si>
    <t xml:space="preserve">Wyliczenie: CFO minus Unlevered FCF</t>
  </si>
  <si>
    <t xml:space="preserve">Unlevered FCF</t>
  </si>
  <si>
    <t xml:space="preserve">Levered FCF</t>
  </si>
  <si>
    <t xml:space="preserve">  BILANS / DŁUG</t>
  </si>
  <si>
    <t xml:space="preserve">Net Debt</t>
  </si>
  <si>
    <t xml:space="preserve">  WSKAŹNIKI POCHODNE (FORMUŁY)</t>
  </si>
  <si>
    <t xml:space="preserve">Rev growth YoY</t>
  </si>
  <si>
    <t xml:space="preserve">Wyliczenie z przychodów</t>
  </si>
  <si>
    <t xml:space="preserve">EBITDA/Revenue</t>
  </si>
  <si>
    <t xml:space="preserve">CFO/EBITDA</t>
  </si>
  <si>
    <t xml:space="preserve">Jakość gotówki operacyjnej</t>
  </si>
  <si>
    <t xml:space="preserve">Net Debt/EBITDA</t>
  </si>
  <si>
    <t xml:space="preserve">Dźwignia finansowa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</si>
</sst>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0.00\x"/>
    <numFmt numFmtId="168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9DB4C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sz val="10"/>
      <color rgb="FF1F2D3D"/>
      <name val="Arial"/>
      <family val="0"/>
      <charset val="1"/>
    </font>
    <font>
      <b val="true"/>
      <sz val="11"/>
      <color rgb="FF495057"/>
      <name val="Arial"/>
      <family val="0"/>
      <charset val="1"/>
    </font>
    <font>
      <b val="true"/>
      <sz val="9"/>
      <color rgb="FF1A6B3C"/>
      <name val="Arial"/>
      <family val="0"/>
      <charset val="1"/>
    </font>
    <font>
      <sz val="10"/>
      <color rgb="FF495057"/>
      <name val="Arial"/>
      <family val="0"/>
      <charset val="1"/>
    </font>
    <font>
      <b val="true"/>
      <sz val="11"/>
      <color rgb="FF1A6B3C"/>
      <name val="Arial"/>
      <family val="0"/>
      <charset val="1"/>
    </font>
    <font>
      <b val="true"/>
      <sz val="11"/>
      <color rgb="FF842029"/>
      <name val="Arial"/>
      <family val="0"/>
      <charset val="1"/>
    </font>
    <font>
      <b val="true"/>
      <sz val="9"/>
      <color rgb="FF7D4E00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b val="true"/>
      <sz val="10"/>
      <color rgb="FF842029"/>
      <name val="Arial"/>
      <family val="0"/>
      <charset val="1"/>
    </font>
    <font>
      <sz val="10"/>
      <color rgb="FFE8EEF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55A5"/>
      <name val="Arial"/>
      <family val="0"/>
      <charset val="1"/>
    </font>
    <font>
      <b val="true"/>
      <sz val="9"/>
      <color rgb="FF49505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7D4E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D3D"/>
        <bgColor rgb="FF1A3A5A"/>
      </patternFill>
    </fill>
    <fill>
      <patternFill patternType="solid">
        <fgColor rgb="FFF2F4F6"/>
        <bgColor rgb="FFF8F9FA"/>
      </patternFill>
    </fill>
    <fill>
      <patternFill patternType="solid">
        <fgColor rgb="FF2C3E50"/>
        <bgColor rgb="FF1A3A5A"/>
      </patternFill>
    </fill>
    <fill>
      <patternFill patternType="solid">
        <fgColor rgb="FFF8F9FA"/>
        <bgColor rgb="FFF2F4F6"/>
      </patternFill>
    </fill>
    <fill>
      <patternFill patternType="solid">
        <fgColor rgb="FFD4EDDA"/>
        <bgColor rgb="FFE2E3E5"/>
      </patternFill>
    </fill>
    <fill>
      <patternFill patternType="solid">
        <fgColor rgb="FFFFFFFF"/>
        <bgColor rgb="FFF8F9FA"/>
      </patternFill>
    </fill>
    <fill>
      <patternFill patternType="solid">
        <fgColor rgb="FFFFF3CD"/>
        <bgColor rgb="FFF2F4F6"/>
      </patternFill>
    </fill>
    <fill>
      <patternFill patternType="solid">
        <fgColor rgb="FFE2E3E5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D4E00"/>
      <rgbColor rgb="FF800080"/>
      <rgbColor rgb="FF1A5A6E"/>
      <rgbColor rgb="FF9DB4C8"/>
      <rgbColor rgb="FF808080"/>
      <rgbColor rgb="FF9999FF"/>
      <rgbColor rgb="FF4A4A4A"/>
      <rgbColor rgb="FFFFF3CD"/>
      <rgbColor rgb="FFE8EEF4"/>
      <rgbColor rgb="FF6B1A3A"/>
      <rgbColor rgb="FFFF8080"/>
      <rgbColor rgb="FF0055A5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D4EDDA"/>
      <rgbColor rgb="FFF8F9FA"/>
      <rgbColor rgb="FF99CCFF"/>
      <rgbColor rgb="FFFF99CC"/>
      <rgbColor rgb="FFCC99FF"/>
      <rgbColor rgb="FFE2E3E5"/>
      <rgbColor rgb="FF3366FF"/>
      <rgbColor rgb="FF33CCCC"/>
      <rgbColor rgb="FF99CC00"/>
      <rgbColor rgb="FFFFCC00"/>
      <rgbColor rgb="FFFF9900"/>
      <rgbColor rgb="FFFF6600"/>
      <rgbColor rgb="FF495057"/>
      <rgbColor rgb="FF969696"/>
      <rgbColor rgb="FF1A3A5A"/>
      <rgbColor rgb="FF339966"/>
      <rgbColor rgb="FF003300"/>
      <rgbColor rgb="FF2C3E50"/>
      <rgbColor rgb="FF842029"/>
      <rgbColor rgb="FF993366"/>
      <rgbColor rgb="FF2C4770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D3D"/>
    <pageSetUpPr fitToPage="false"/>
  </sheetPr>
  <dimension ref="B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2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7.5" hidden="false" customHeight="true" outlineLevel="0" collapsed="false">
      <c r="B3" s="3"/>
      <c r="C3" s="3"/>
      <c r="D3" s="3"/>
      <c r="E3" s="3"/>
      <c r="F3" s="3"/>
      <c r="G3" s="3"/>
    </row>
    <row r="4" customFormat="false" ht="13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3.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customFormat="false" ht="18" hidden="false" customHeight="true" outlineLevel="0" collapsed="false">
      <c r="B6" s="6" t="s">
        <v>9</v>
      </c>
      <c r="C6" s="7" t="s">
        <v>10</v>
      </c>
      <c r="D6" s="8" t="s">
        <v>10</v>
      </c>
      <c r="E6" s="9" t="s">
        <v>11</v>
      </c>
      <c r="F6" s="10" t="s">
        <v>12</v>
      </c>
      <c r="G6" s="11" t="s">
        <v>13</v>
      </c>
    </row>
    <row r="7" customFormat="false" ht="18" hidden="false" customHeight="true" outlineLevel="0" collapsed="false">
      <c r="B7" s="12" t="s">
        <v>14</v>
      </c>
      <c r="C7" s="13" t="s">
        <v>15</v>
      </c>
      <c r="D7" s="14" t="s">
        <v>16</v>
      </c>
      <c r="E7" s="15" t="s">
        <v>17</v>
      </c>
      <c r="F7" s="10" t="s">
        <v>12</v>
      </c>
      <c r="G7" s="16" t="s">
        <v>18</v>
      </c>
    </row>
    <row r="8" customFormat="false" ht="18" hidden="false" customHeight="true" outlineLevel="0" collapsed="false">
      <c r="B8" s="6" t="s">
        <v>19</v>
      </c>
      <c r="C8" s="7" t="s">
        <v>20</v>
      </c>
      <c r="D8" s="8" t="s">
        <v>21</v>
      </c>
      <c r="E8" s="17" t="s">
        <v>22</v>
      </c>
      <c r="F8" s="18" t="s">
        <v>23</v>
      </c>
      <c r="G8" s="11" t="s">
        <v>24</v>
      </c>
    </row>
    <row r="9" customFormat="false" ht="18" hidden="false" customHeight="true" outlineLevel="0" collapsed="false">
      <c r="B9" s="12" t="s">
        <v>25</v>
      </c>
      <c r="C9" s="13" t="s">
        <v>26</v>
      </c>
      <c r="D9" s="14" t="s">
        <v>27</v>
      </c>
      <c r="E9" s="15" t="s">
        <v>17</v>
      </c>
      <c r="F9" s="18" t="s">
        <v>23</v>
      </c>
      <c r="G9" s="16" t="s">
        <v>28</v>
      </c>
    </row>
    <row r="10" customFormat="false" ht="18" hidden="false" customHeight="true" outlineLevel="0" collapsed="false">
      <c r="B10" s="6" t="s">
        <v>29</v>
      </c>
      <c r="C10" s="7" t="s">
        <v>30</v>
      </c>
      <c r="D10" s="8" t="s">
        <v>31</v>
      </c>
      <c r="E10" s="17" t="s">
        <v>22</v>
      </c>
      <c r="F10" s="18" t="s">
        <v>23</v>
      </c>
      <c r="G10" s="11" t="s">
        <v>32</v>
      </c>
    </row>
    <row r="11" customFormat="false" ht="7.5" hidden="false" customHeight="true" outlineLevel="0" collapsed="false">
      <c r="B11" s="3"/>
      <c r="C11" s="3"/>
      <c r="D11" s="3"/>
      <c r="E11" s="3"/>
      <c r="F11" s="3"/>
      <c r="G11" s="3"/>
    </row>
    <row r="12" customFormat="false" ht="13.5" hidden="false" customHeight="true" outlineLevel="0" collapsed="false">
      <c r="B12" s="4" t="s">
        <v>33</v>
      </c>
      <c r="C12" s="4"/>
      <c r="D12" s="4"/>
      <c r="E12" s="4"/>
      <c r="F12" s="4"/>
      <c r="G12" s="4"/>
    </row>
    <row r="13" customFormat="false" ht="24" hidden="false" customHeight="true" outlineLevel="0" collapsed="false">
      <c r="B13" s="19" t="s">
        <v>34</v>
      </c>
      <c r="C13" s="19"/>
      <c r="D13" s="11" t="s">
        <v>35</v>
      </c>
      <c r="E13" s="11"/>
      <c r="F13" s="11"/>
      <c r="G13" s="11"/>
    </row>
    <row r="14" customFormat="false" ht="24" hidden="false" customHeight="true" outlineLevel="0" collapsed="false">
      <c r="B14" s="20" t="s">
        <v>36</v>
      </c>
      <c r="C14" s="20"/>
      <c r="D14" s="16" t="s">
        <v>37</v>
      </c>
      <c r="E14" s="16"/>
      <c r="F14" s="16"/>
      <c r="G14" s="16"/>
    </row>
    <row r="15" customFormat="false" ht="24" hidden="false" customHeight="true" outlineLevel="0" collapsed="false">
      <c r="B15" s="19" t="s">
        <v>38</v>
      </c>
      <c r="C15" s="19"/>
      <c r="D15" s="11" t="s">
        <v>39</v>
      </c>
      <c r="E15" s="11"/>
      <c r="F15" s="11"/>
      <c r="G15" s="11"/>
    </row>
    <row r="16" customFormat="false" ht="7.5" hidden="false" customHeight="true" outlineLevel="0" collapsed="false">
      <c r="B16" s="3"/>
      <c r="C16" s="3"/>
      <c r="D16" s="3"/>
      <c r="E16" s="3"/>
      <c r="F16" s="3"/>
      <c r="G16" s="3"/>
    </row>
    <row r="17" customFormat="false" ht="13.5" hidden="false" customHeight="true" outlineLevel="0" collapsed="false">
      <c r="B17" s="4" t="s">
        <v>40</v>
      </c>
      <c r="C17" s="4"/>
      <c r="D17" s="4"/>
      <c r="E17" s="4"/>
      <c r="F17" s="4"/>
      <c r="G17" s="4"/>
    </row>
    <row r="18" customFormat="false" ht="24" hidden="false" customHeight="true" outlineLevel="0" collapsed="false">
      <c r="B18" s="21" t="s">
        <v>41</v>
      </c>
      <c r="C18" s="21"/>
      <c r="D18" s="11" t="s">
        <v>42</v>
      </c>
      <c r="E18" s="11"/>
      <c r="F18" s="11"/>
      <c r="G18" s="11"/>
    </row>
    <row r="19" customFormat="false" ht="24" hidden="false" customHeight="true" outlineLevel="0" collapsed="false">
      <c r="B19" s="22" t="s">
        <v>43</v>
      </c>
      <c r="C19" s="22"/>
      <c r="D19" s="16" t="s">
        <v>44</v>
      </c>
      <c r="E19" s="16"/>
      <c r="F19" s="16"/>
      <c r="G19" s="16"/>
    </row>
    <row r="20" customFormat="false" ht="24" hidden="false" customHeight="true" outlineLevel="0" collapsed="false">
      <c r="B20" s="21" t="s">
        <v>45</v>
      </c>
      <c r="C20" s="21"/>
      <c r="D20" s="11" t="s">
        <v>46</v>
      </c>
      <c r="E20" s="11"/>
      <c r="F20" s="11"/>
      <c r="G20" s="11"/>
    </row>
    <row r="21" customFormat="false" ht="7.5" hidden="false" customHeight="true" outlineLevel="0" collapsed="false">
      <c r="B21" s="3"/>
      <c r="C21" s="3"/>
      <c r="D21" s="3"/>
      <c r="E21" s="3"/>
      <c r="F21" s="3"/>
      <c r="G21" s="3"/>
    </row>
    <row r="22" customFormat="false" ht="13.5" hidden="false" customHeight="true" outlineLevel="0" collapsed="false">
      <c r="B22" s="4" t="s">
        <v>47</v>
      </c>
      <c r="C22" s="4"/>
      <c r="D22" s="4"/>
      <c r="E22" s="4"/>
      <c r="F22" s="4"/>
      <c r="G22" s="4"/>
    </row>
    <row r="23" customFormat="false" ht="24" hidden="false" customHeight="true" outlineLevel="0" collapsed="false">
      <c r="B23" s="23" t="s">
        <v>48</v>
      </c>
      <c r="C23" s="23"/>
      <c r="D23" s="11" t="s">
        <v>49</v>
      </c>
      <c r="E23" s="11"/>
      <c r="F23" s="11"/>
      <c r="G23" s="11"/>
    </row>
    <row r="24" customFormat="false" ht="24" hidden="false" customHeight="true" outlineLevel="0" collapsed="false">
      <c r="B24" s="24" t="s">
        <v>50</v>
      </c>
      <c r="C24" s="24"/>
      <c r="D24" s="16" t="s">
        <v>51</v>
      </c>
      <c r="E24" s="16"/>
      <c r="F24" s="16"/>
      <c r="G24" s="16"/>
    </row>
    <row r="25" customFormat="false" ht="24" hidden="false" customHeight="true" outlineLevel="0" collapsed="false">
      <c r="B25" s="23" t="s">
        <v>52</v>
      </c>
      <c r="C25" s="23"/>
      <c r="D25" s="11" t="s">
        <v>53</v>
      </c>
      <c r="E25" s="11"/>
      <c r="F25" s="11"/>
      <c r="G25" s="11"/>
    </row>
    <row r="26" customFormat="false" ht="7.5" hidden="false" customHeight="true" outlineLevel="0" collapsed="false">
      <c r="B26" s="3"/>
      <c r="C26" s="3"/>
      <c r="D26" s="3"/>
      <c r="E26" s="3"/>
      <c r="F26" s="3"/>
      <c r="G26" s="3"/>
    </row>
    <row r="27" customFormat="false" ht="39.75" hidden="false" customHeight="true" outlineLevel="0" collapsed="false">
      <c r="B27" s="25" t="s">
        <v>54</v>
      </c>
      <c r="C27" s="25"/>
      <c r="D27" s="25"/>
      <c r="E27" s="25"/>
      <c r="F27" s="25"/>
      <c r="G27" s="25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</sheetData>
  <mergeCells count="25">
    <mergeCell ref="B1:G1"/>
    <mergeCell ref="B2:G2"/>
    <mergeCell ref="B4:G4"/>
    <mergeCell ref="B12:G12"/>
    <mergeCell ref="B13:C13"/>
    <mergeCell ref="D13:G13"/>
    <mergeCell ref="B14:C14"/>
    <mergeCell ref="D14:G14"/>
    <mergeCell ref="B15:C15"/>
    <mergeCell ref="D15:G15"/>
    <mergeCell ref="B17:G17"/>
    <mergeCell ref="B18:C18"/>
    <mergeCell ref="D18:G18"/>
    <mergeCell ref="B19:C19"/>
    <mergeCell ref="D19:G19"/>
    <mergeCell ref="B20:C20"/>
    <mergeCell ref="D20:G20"/>
    <mergeCell ref="B22:G22"/>
    <mergeCell ref="B23:C23"/>
    <mergeCell ref="D23:G23"/>
    <mergeCell ref="B24:C24"/>
    <mergeCell ref="D24:G24"/>
    <mergeCell ref="B25:C25"/>
    <mergeCell ref="D25:G25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4770"/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1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27.75" hidden="false" customHeight="true" outlineLevel="0" collapsed="false">
      <c r="B1" s="26" t="s">
        <v>55</v>
      </c>
      <c r="C1" s="26"/>
      <c r="D1" s="26"/>
      <c r="E1" s="26"/>
      <c r="F1" s="26"/>
      <c r="G1" s="26"/>
      <c r="H1" s="26"/>
    </row>
    <row r="2" customFormat="false" ht="7.5" hidden="false" customHeight="true" outlineLevel="0" collapsed="false"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5" t="s">
        <v>3</v>
      </c>
      <c r="C3" s="5" t="s">
        <v>56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57</v>
      </c>
    </row>
    <row r="4" customFormat="false" ht="18" hidden="false" customHeight="true" outlineLevel="0" collapsed="false">
      <c r="B4" s="4" t="s">
        <v>58</v>
      </c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B5" s="27" t="s">
        <v>59</v>
      </c>
      <c r="C5" s="28" t="n">
        <v>480</v>
      </c>
      <c r="D5" s="28" t="n">
        <v>656.3</v>
      </c>
      <c r="E5" s="28" t="n">
        <v>855.2</v>
      </c>
      <c r="F5" s="15" t="s">
        <v>17</v>
      </c>
      <c r="G5" s="10" t="s">
        <v>12</v>
      </c>
      <c r="H5" s="16" t="s">
        <v>60</v>
      </c>
    </row>
    <row r="6" customFormat="false" ht="18" hidden="false" customHeight="true" outlineLevel="0" collapsed="false">
      <c r="B6" s="29" t="s">
        <v>61</v>
      </c>
      <c r="C6" s="30" t="s">
        <v>62</v>
      </c>
      <c r="D6" s="31" t="n">
        <v>0.367</v>
      </c>
      <c r="E6" s="31" t="n">
        <v>0.303</v>
      </c>
      <c r="F6" s="17" t="s">
        <v>22</v>
      </c>
      <c r="G6" s="18" t="s">
        <v>23</v>
      </c>
      <c r="H6" s="11" t="s">
        <v>63</v>
      </c>
    </row>
    <row r="7" customFormat="false" ht="18" hidden="false" customHeight="true" outlineLevel="0" collapsed="false">
      <c r="B7" s="27" t="s">
        <v>64</v>
      </c>
      <c r="C7" s="28" t="n">
        <v>141.3</v>
      </c>
      <c r="D7" s="28" t="n">
        <v>175.3</v>
      </c>
      <c r="E7" s="28" t="n">
        <v>291.7</v>
      </c>
      <c r="F7" s="15" t="s">
        <v>17</v>
      </c>
      <c r="G7" s="10" t="s">
        <v>12</v>
      </c>
      <c r="H7" s="16" t="s">
        <v>65</v>
      </c>
    </row>
    <row r="8" customFormat="false" ht="18" hidden="false" customHeight="true" outlineLevel="0" collapsed="false">
      <c r="B8" s="29" t="s">
        <v>14</v>
      </c>
      <c r="C8" s="31" t="n">
        <v>0.294</v>
      </c>
      <c r="D8" s="31" t="n">
        <v>0.267</v>
      </c>
      <c r="E8" s="31" t="n">
        <v>0.341</v>
      </c>
      <c r="F8" s="32" t="s">
        <v>17</v>
      </c>
      <c r="G8" s="10" t="s">
        <v>12</v>
      </c>
      <c r="H8" s="11" t="s">
        <v>66</v>
      </c>
    </row>
    <row r="9" customFormat="false" ht="18" hidden="false" customHeight="true" outlineLevel="0" collapsed="false">
      <c r="B9" s="27" t="s">
        <v>67</v>
      </c>
      <c r="C9" s="28" t="n">
        <v>87.4</v>
      </c>
      <c r="D9" s="28" t="n">
        <v>153.8</v>
      </c>
      <c r="E9" s="28" t="n">
        <v>127.8</v>
      </c>
      <c r="F9" s="33" t="s">
        <v>22</v>
      </c>
      <c r="G9" s="18" t="s">
        <v>23</v>
      </c>
      <c r="H9" s="16" t="s">
        <v>68</v>
      </c>
    </row>
    <row r="10" customFormat="false" ht="18" hidden="false" customHeight="true" outlineLevel="0" collapsed="false">
      <c r="B10" s="4" t="s">
        <v>69</v>
      </c>
      <c r="C10" s="4"/>
      <c r="D10" s="4"/>
      <c r="E10" s="4"/>
      <c r="F10" s="4"/>
      <c r="G10" s="4"/>
      <c r="H10" s="4"/>
    </row>
    <row r="11" customFormat="false" ht="18" hidden="false" customHeight="true" outlineLevel="0" collapsed="false">
      <c r="B11" s="27" t="s">
        <v>70</v>
      </c>
      <c r="C11" s="28" t="n">
        <v>136.9</v>
      </c>
      <c r="D11" s="28" t="n">
        <v>187.5</v>
      </c>
      <c r="E11" s="28" t="n">
        <v>261.2</v>
      </c>
      <c r="F11" s="15" t="s">
        <v>17</v>
      </c>
      <c r="G11" s="10" t="s">
        <v>12</v>
      </c>
      <c r="H11" s="16" t="s">
        <v>71</v>
      </c>
    </row>
    <row r="12" customFormat="false" ht="18" hidden="false" customHeight="true" outlineLevel="0" collapsed="false">
      <c r="B12" s="29" t="s">
        <v>19</v>
      </c>
      <c r="C12" s="31" t="n">
        <v>0.969</v>
      </c>
      <c r="D12" s="31" t="n">
        <v>1.07</v>
      </c>
      <c r="E12" s="31" t="n">
        <v>0.895</v>
      </c>
      <c r="F12" s="17" t="s">
        <v>22</v>
      </c>
      <c r="G12" s="18" t="s">
        <v>23</v>
      </c>
      <c r="H12" s="11" t="s">
        <v>72</v>
      </c>
    </row>
    <row r="13" customFormat="false" ht="18" hidden="false" customHeight="true" outlineLevel="0" collapsed="false">
      <c r="B13" s="27" t="s">
        <v>73</v>
      </c>
      <c r="C13" s="28" t="n">
        <v>108.1</v>
      </c>
      <c r="D13" s="28" t="n">
        <v>148.4</v>
      </c>
      <c r="E13" s="28" t="n">
        <v>201.2</v>
      </c>
      <c r="F13" s="15" t="s">
        <v>17</v>
      </c>
      <c r="G13" s="10" t="s">
        <v>12</v>
      </c>
      <c r="H13" s="16" t="s">
        <v>74</v>
      </c>
    </row>
    <row r="14" customFormat="false" ht="18" hidden="false" customHeight="true" outlineLevel="0" collapsed="false">
      <c r="B14" s="29" t="s">
        <v>75</v>
      </c>
      <c r="C14" s="31" t="n">
        <v>0.765</v>
      </c>
      <c r="D14" s="31" t="n">
        <v>0.846</v>
      </c>
      <c r="E14" s="31" t="n">
        <v>0.69</v>
      </c>
      <c r="F14" s="17" t="s">
        <v>22</v>
      </c>
      <c r="G14" s="18" t="s">
        <v>23</v>
      </c>
      <c r="H14" s="11" t="s">
        <v>76</v>
      </c>
    </row>
    <row r="15" customFormat="false" ht="18" hidden="false" customHeight="true" outlineLevel="0" collapsed="false">
      <c r="B15" s="27" t="s">
        <v>77</v>
      </c>
      <c r="C15" s="28" t="n">
        <v>4.6</v>
      </c>
      <c r="D15" s="28" t="n">
        <v>64.2</v>
      </c>
      <c r="E15" s="28" t="n">
        <v>60.3</v>
      </c>
      <c r="F15" s="33" t="s">
        <v>22</v>
      </c>
      <c r="G15" s="18" t="s">
        <v>23</v>
      </c>
      <c r="H15" s="16" t="s">
        <v>78</v>
      </c>
    </row>
    <row r="16" customFormat="false" ht="18" hidden="false" customHeight="true" outlineLevel="0" collapsed="false">
      <c r="B16" s="4" t="s">
        <v>79</v>
      </c>
      <c r="C16" s="4"/>
      <c r="D16" s="4"/>
      <c r="E16" s="4"/>
      <c r="F16" s="4"/>
      <c r="G16" s="4"/>
      <c r="H16" s="4"/>
    </row>
    <row r="17" customFormat="false" ht="18" hidden="false" customHeight="true" outlineLevel="0" collapsed="false">
      <c r="B17" s="27" t="s">
        <v>80</v>
      </c>
      <c r="C17" s="28" t="n">
        <v>0</v>
      </c>
      <c r="D17" s="28" t="n">
        <v>86.8</v>
      </c>
      <c r="E17" s="28" t="n">
        <v>363.9</v>
      </c>
      <c r="F17" s="15" t="s">
        <v>17</v>
      </c>
      <c r="G17" s="18" t="s">
        <v>23</v>
      </c>
      <c r="H17" s="16" t="s">
        <v>81</v>
      </c>
    </row>
    <row r="18" customFormat="false" ht="18" hidden="false" customHeight="true" outlineLevel="0" collapsed="false">
      <c r="B18" s="29" t="s">
        <v>25</v>
      </c>
      <c r="C18" s="30" t="s">
        <v>62</v>
      </c>
      <c r="D18" s="34" t="n">
        <v>0.495</v>
      </c>
      <c r="E18" s="34" t="n">
        <v>1.247</v>
      </c>
      <c r="F18" s="32" t="s">
        <v>17</v>
      </c>
      <c r="G18" s="18" t="s">
        <v>23</v>
      </c>
      <c r="H18" s="11" t="s">
        <v>82</v>
      </c>
    </row>
    <row r="19" customFormat="false" ht="18" hidden="false" customHeight="true" outlineLevel="0" collapsed="false">
      <c r="B19" s="27" t="s">
        <v>83</v>
      </c>
      <c r="C19" s="35" t="n">
        <v>0.029</v>
      </c>
      <c r="D19" s="35" t="n">
        <v>0.059</v>
      </c>
      <c r="E19" s="35" t="n">
        <v>0.191</v>
      </c>
      <c r="F19" s="15" t="s">
        <v>17</v>
      </c>
      <c r="G19" s="18" t="s">
        <v>23</v>
      </c>
      <c r="H19" s="16" t="s">
        <v>84</v>
      </c>
    </row>
    <row r="20" customFormat="false" ht="18" hidden="false" customHeight="true" outlineLevel="0" collapsed="false">
      <c r="B20" s="4" t="s">
        <v>85</v>
      </c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B21" s="27" t="s">
        <v>86</v>
      </c>
      <c r="C21" s="36" t="s">
        <v>62</v>
      </c>
      <c r="D21" s="36" t="s">
        <v>62</v>
      </c>
      <c r="E21" s="36" t="s">
        <v>62</v>
      </c>
      <c r="F21" s="37" t="s">
        <v>62</v>
      </c>
      <c r="G21" s="38" t="s">
        <v>87</v>
      </c>
      <c r="H21" s="16" t="s">
        <v>88</v>
      </c>
    </row>
    <row r="22" customFormat="false" ht="18" hidden="false" customHeight="true" outlineLevel="0" collapsed="false">
      <c r="B22" s="29" t="s">
        <v>89</v>
      </c>
      <c r="C22" s="30" t="s">
        <v>62</v>
      </c>
      <c r="D22" s="30" t="s">
        <v>62</v>
      </c>
      <c r="E22" s="30" t="s">
        <v>62</v>
      </c>
      <c r="F22" s="9" t="s">
        <v>62</v>
      </c>
      <c r="G22" s="38" t="s">
        <v>87</v>
      </c>
      <c r="H22" s="11" t="s">
        <v>90</v>
      </c>
    </row>
    <row r="23" customFormat="false" ht="18" hidden="false" customHeight="true" outlineLevel="0" collapsed="false">
      <c r="B23" s="27" t="s">
        <v>91</v>
      </c>
      <c r="C23" s="36" t="s">
        <v>62</v>
      </c>
      <c r="D23" s="36" t="s">
        <v>62</v>
      </c>
      <c r="E23" s="36" t="s">
        <v>62</v>
      </c>
      <c r="F23" s="37" t="s">
        <v>62</v>
      </c>
      <c r="G23" s="38" t="s">
        <v>87</v>
      </c>
      <c r="H23" s="16" t="s">
        <v>92</v>
      </c>
    </row>
    <row r="24" customFormat="false" ht="18" hidden="false" customHeight="true" outlineLevel="0" collapsed="false">
      <c r="B24" s="4" t="s">
        <v>93</v>
      </c>
      <c r="C24" s="4"/>
      <c r="D24" s="4"/>
      <c r="E24" s="4"/>
      <c r="F24" s="4"/>
      <c r="G24" s="4"/>
      <c r="H24" s="4"/>
    </row>
    <row r="25" customFormat="false" ht="18" hidden="false" customHeight="true" outlineLevel="0" collapsed="false">
      <c r="B25" s="27" t="s">
        <v>94</v>
      </c>
      <c r="C25" s="36" t="s">
        <v>62</v>
      </c>
      <c r="D25" s="36" t="s">
        <v>62</v>
      </c>
      <c r="E25" s="36" t="s">
        <v>62</v>
      </c>
      <c r="F25" s="37" t="s">
        <v>62</v>
      </c>
      <c r="G25" s="38" t="s">
        <v>87</v>
      </c>
      <c r="H25" s="16" t="s">
        <v>95</v>
      </c>
    </row>
    <row r="26" customFormat="false" ht="18" hidden="false" customHeight="true" outlineLevel="0" collapsed="false">
      <c r="B26" s="29" t="s">
        <v>96</v>
      </c>
      <c r="C26" s="30" t="s">
        <v>62</v>
      </c>
      <c r="D26" s="30" t="s">
        <v>62</v>
      </c>
      <c r="E26" s="30" t="s">
        <v>62</v>
      </c>
      <c r="F26" s="9" t="s">
        <v>62</v>
      </c>
      <c r="G26" s="38" t="s">
        <v>87</v>
      </c>
      <c r="H26" s="11" t="s">
        <v>97</v>
      </c>
    </row>
    <row r="27" customFormat="false" ht="18" hidden="false" customHeight="true" outlineLevel="0" collapsed="false">
      <c r="B27" s="27" t="s">
        <v>98</v>
      </c>
      <c r="C27" s="36" t="s">
        <v>62</v>
      </c>
      <c r="D27" s="36" t="s">
        <v>62</v>
      </c>
      <c r="E27" s="36" t="s">
        <v>62</v>
      </c>
      <c r="F27" s="37" t="s">
        <v>62</v>
      </c>
      <c r="G27" s="38" t="s">
        <v>87</v>
      </c>
      <c r="H27" s="16" t="s">
        <v>99</v>
      </c>
    </row>
  </sheetData>
  <mergeCells count="6">
    <mergeCell ref="B1:H1"/>
    <mergeCell ref="B4:H4"/>
    <mergeCell ref="B10:H10"/>
    <mergeCell ref="B16:H16"/>
    <mergeCell ref="B20:H20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A6E"/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3"/>
  </cols>
  <sheetData>
    <row r="1" customFormat="false" ht="27.75" hidden="false" customHeight="true" outlineLevel="0" collapsed="false">
      <c r="B1" s="26" t="s">
        <v>100</v>
      </c>
      <c r="C1" s="26"/>
      <c r="D1" s="26"/>
      <c r="E1" s="26"/>
      <c r="F1" s="26"/>
    </row>
    <row r="2" customFormat="false" ht="7.5" hidden="false" customHeight="true" outlineLevel="0" collapsed="false">
      <c r="B2" s="3"/>
      <c r="C2" s="3"/>
      <c r="D2" s="3"/>
      <c r="E2" s="3"/>
      <c r="F2" s="3"/>
    </row>
    <row r="3" customFormat="false" ht="15" hidden="false" customHeight="true" outlineLevel="0" collapsed="false">
      <c r="B3" s="5" t="s">
        <v>101</v>
      </c>
      <c r="C3" s="5" t="s">
        <v>56</v>
      </c>
      <c r="D3" s="5" t="s">
        <v>4</v>
      </c>
      <c r="E3" s="5" t="s">
        <v>5</v>
      </c>
      <c r="F3" s="5" t="s">
        <v>102</v>
      </c>
    </row>
    <row r="4" customFormat="false" ht="18" hidden="false" customHeight="true" outlineLevel="0" collapsed="false">
      <c r="B4" s="4" t="s">
        <v>103</v>
      </c>
      <c r="C4" s="4"/>
      <c r="D4" s="4"/>
      <c r="E4" s="4"/>
      <c r="F4" s="4"/>
    </row>
    <row r="5" customFormat="false" ht="18" hidden="false" customHeight="true" outlineLevel="0" collapsed="false">
      <c r="B5" s="39" t="s">
        <v>104</v>
      </c>
      <c r="C5" s="40" t="n">
        <v>141300</v>
      </c>
      <c r="D5" s="40" t="n">
        <v>175300</v>
      </c>
      <c r="E5" s="40" t="n">
        <v>291700</v>
      </c>
      <c r="F5" s="41" t="n">
        <f aca="false">E5-D5</f>
        <v>116400</v>
      </c>
    </row>
    <row r="6" customFormat="false" ht="18" hidden="false" customHeight="true" outlineLevel="0" collapsed="false">
      <c r="B6" s="29" t="s">
        <v>105</v>
      </c>
      <c r="C6" s="42" t="n">
        <v>-22000</v>
      </c>
      <c r="D6" s="42" t="n">
        <v>-35000</v>
      </c>
      <c r="E6" s="42" t="n">
        <v>-38000</v>
      </c>
      <c r="F6" s="43" t="n">
        <f aca="false">E6-D6</f>
        <v>-3000</v>
      </c>
    </row>
    <row r="7" customFormat="false" ht="18" hidden="false" customHeight="true" outlineLevel="0" collapsed="false">
      <c r="B7" s="27" t="s">
        <v>106</v>
      </c>
      <c r="C7" s="44" t="n">
        <v>3400</v>
      </c>
      <c r="D7" s="44" t="n">
        <v>-3179</v>
      </c>
      <c r="E7" s="44" t="n">
        <v>-8494</v>
      </c>
      <c r="F7" s="45" t="n">
        <f aca="false">E7-D7</f>
        <v>-5315</v>
      </c>
    </row>
    <row r="8" customFormat="false" ht="18" hidden="false" customHeight="true" outlineLevel="0" collapsed="false">
      <c r="B8" s="39" t="s">
        <v>107</v>
      </c>
      <c r="C8" s="41" t="n">
        <v>136900</v>
      </c>
      <c r="D8" s="41" t="n">
        <v>187479</v>
      </c>
      <c r="E8" s="41" t="n">
        <v>261194</v>
      </c>
      <c r="F8" s="41" t="n">
        <f aca="false">E8-D8</f>
        <v>73715</v>
      </c>
    </row>
    <row r="9" customFormat="false" ht="18" hidden="false" customHeight="true" outlineLevel="0" collapsed="false">
      <c r="B9" s="4" t="s">
        <v>108</v>
      </c>
      <c r="C9" s="4"/>
      <c r="D9" s="4"/>
      <c r="E9" s="4"/>
      <c r="F9" s="4"/>
    </row>
    <row r="10" customFormat="false" ht="18" hidden="false" customHeight="true" outlineLevel="0" collapsed="false">
      <c r="B10" s="29" t="s">
        <v>109</v>
      </c>
      <c r="C10" s="42" t="n">
        <v>-28800</v>
      </c>
      <c r="D10" s="42" t="n">
        <v>-39100</v>
      </c>
      <c r="E10" s="42" t="n">
        <v>-60044</v>
      </c>
      <c r="F10" s="43" t="n">
        <f aca="false">E10-D10</f>
        <v>-20944</v>
      </c>
    </row>
    <row r="11" customFormat="false" ht="18" hidden="false" customHeight="true" outlineLevel="0" collapsed="false">
      <c r="B11" s="39" t="s">
        <v>110</v>
      </c>
      <c r="C11" s="41" t="n">
        <v>108100</v>
      </c>
      <c r="D11" s="41" t="n">
        <v>148379</v>
      </c>
      <c r="E11" s="41" t="n">
        <v>201150</v>
      </c>
      <c r="F11" s="41" t="n">
        <f aca="false">E11-D11</f>
        <v>52771</v>
      </c>
    </row>
    <row r="12" customFormat="false" ht="18" hidden="false" customHeight="true" outlineLevel="0" collapsed="false">
      <c r="B12" s="4" t="s">
        <v>111</v>
      </c>
      <c r="C12" s="4"/>
      <c r="D12" s="4"/>
      <c r="E12" s="4"/>
      <c r="F12" s="4"/>
    </row>
    <row r="13" customFormat="false" ht="18" hidden="false" customHeight="true" outlineLevel="0" collapsed="false">
      <c r="B13" s="27" t="s">
        <v>112</v>
      </c>
      <c r="C13" s="44" t="n">
        <v>-4000</v>
      </c>
      <c r="D13" s="44" t="n">
        <v>-11000</v>
      </c>
      <c r="E13" s="44" t="n">
        <v>-50000</v>
      </c>
      <c r="F13" s="45" t="n">
        <f aca="false">E13-D13</f>
        <v>-39000</v>
      </c>
    </row>
    <row r="14" customFormat="false" ht="18" hidden="false" customHeight="true" outlineLevel="0" collapsed="false">
      <c r="B14" s="29" t="s">
        <v>113</v>
      </c>
      <c r="C14" s="42" t="n">
        <v>-99500</v>
      </c>
      <c r="D14" s="42" t="n">
        <v>-73179</v>
      </c>
      <c r="E14" s="42" t="n">
        <v>-90850</v>
      </c>
      <c r="F14" s="43" t="n">
        <f aca="false">E14-D14</f>
        <v>-17671</v>
      </c>
    </row>
    <row r="15" customFormat="false" ht="18" hidden="false" customHeight="true" outlineLevel="0" collapsed="false">
      <c r="B15" s="39" t="s">
        <v>114</v>
      </c>
      <c r="C15" s="41" t="n">
        <v>4600</v>
      </c>
      <c r="D15" s="41" t="n">
        <v>64200</v>
      </c>
      <c r="E15" s="41" t="n">
        <v>60300</v>
      </c>
      <c r="F15" s="41" t="n">
        <f aca="false">E15-D15</f>
        <v>-3900</v>
      </c>
    </row>
    <row r="16" customFormat="false" ht="18" hidden="false" customHeight="true" outlineLevel="0" collapsed="false">
      <c r="B16" s="4" t="s">
        <v>115</v>
      </c>
      <c r="C16" s="4"/>
      <c r="D16" s="4"/>
      <c r="E16" s="4"/>
      <c r="F16" s="4"/>
    </row>
    <row r="17" customFormat="false" ht="18" hidden="false" customHeight="true" outlineLevel="0" collapsed="false">
      <c r="B17" s="27" t="s">
        <v>19</v>
      </c>
      <c r="C17" s="46" t="n">
        <f aca="false">C8/C5</f>
        <v>0.968860580325548</v>
      </c>
      <c r="D17" s="46" t="n">
        <f aca="false">D8/D5</f>
        <v>1.06947518539646</v>
      </c>
      <c r="E17" s="46" t="n">
        <f aca="false">E8/E5</f>
        <v>0.895419952005485</v>
      </c>
      <c r="F17" s="47"/>
    </row>
    <row r="18" customFormat="false" ht="18" hidden="false" customHeight="true" outlineLevel="0" collapsed="false">
      <c r="B18" s="29" t="s">
        <v>75</v>
      </c>
      <c r="C18" s="48" t="n">
        <f aca="false">C11/C5</f>
        <v>0.765038924274593</v>
      </c>
      <c r="D18" s="48" t="n">
        <f aca="false">D11/D5</f>
        <v>0.846428978893326</v>
      </c>
      <c r="E18" s="48" t="n">
        <f aca="false">E11/E5</f>
        <v>0.689578333904697</v>
      </c>
      <c r="F18" s="49"/>
    </row>
    <row r="19" customFormat="false" ht="18" hidden="false" customHeight="true" outlineLevel="0" collapsed="false">
      <c r="B19" s="27" t="s">
        <v>116</v>
      </c>
      <c r="C19" s="46" t="n">
        <f aca="false">ABS(C10)/480000</f>
        <v>0.06</v>
      </c>
      <c r="D19" s="46" t="n">
        <f aca="false">ABS(D10)/656331</f>
        <v>0.0595735992966963</v>
      </c>
      <c r="E19" s="46" t="n">
        <f aca="false">ABS(E10)/855151</f>
        <v>0.0702145001292169</v>
      </c>
      <c r="F19" s="47"/>
    </row>
    <row r="20" customFormat="false" ht="7.5" hidden="false" customHeight="true" outlineLevel="0" collapsed="false">
      <c r="B20" s="3"/>
      <c r="C20" s="3"/>
      <c r="D20" s="3"/>
      <c r="E20" s="3"/>
      <c r="F20" s="3"/>
    </row>
    <row r="21" customFormat="false" ht="36" hidden="false" customHeight="true" outlineLevel="0" collapsed="false">
      <c r="B21" s="25" t="s">
        <v>117</v>
      </c>
      <c r="C21" s="25"/>
      <c r="D21" s="25"/>
      <c r="E21" s="25"/>
      <c r="F21" s="25"/>
    </row>
  </sheetData>
  <mergeCells count="6">
    <mergeCell ref="B1:F1"/>
    <mergeCell ref="B4:F4"/>
    <mergeCell ref="B9:F9"/>
    <mergeCell ref="B12:F12"/>
    <mergeCell ref="B16:F16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1A3A"/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27.75" hidden="false" customHeight="true" outlineLevel="0" collapsed="false">
      <c r="B1" s="26" t="s">
        <v>118</v>
      </c>
      <c r="C1" s="26"/>
      <c r="D1" s="26"/>
      <c r="E1" s="26"/>
      <c r="F1" s="26"/>
    </row>
    <row r="2" customFormat="false" ht="7.5" hidden="false" customHeight="true" outlineLevel="0" collapsed="false">
      <c r="B2" s="3"/>
      <c r="C2" s="3"/>
      <c r="D2" s="3"/>
      <c r="E2" s="3"/>
      <c r="F2" s="3"/>
    </row>
    <row r="3" customFormat="false" ht="24" hidden="false" customHeight="true" outlineLevel="0" collapsed="false">
      <c r="B3" s="5" t="s">
        <v>101</v>
      </c>
      <c r="C3" s="5" t="s">
        <v>119</v>
      </c>
      <c r="D3" s="5" t="s">
        <v>120</v>
      </c>
      <c r="E3" s="5" t="s">
        <v>121</v>
      </c>
      <c r="F3" s="5" t="s">
        <v>122</v>
      </c>
    </row>
    <row r="4" customFormat="false" ht="19.5" hidden="false" customHeight="true" outlineLevel="0" collapsed="false">
      <c r="B4" s="4" t="s">
        <v>123</v>
      </c>
      <c r="C4" s="4"/>
      <c r="D4" s="4"/>
      <c r="E4" s="4"/>
      <c r="F4" s="4"/>
    </row>
    <row r="5" customFormat="false" ht="19.5" hidden="false" customHeight="true" outlineLevel="0" collapsed="false">
      <c r="B5" s="27" t="s">
        <v>124</v>
      </c>
      <c r="C5" s="44" t="n">
        <v>141300</v>
      </c>
      <c r="D5" s="44" t="n">
        <v>175300</v>
      </c>
      <c r="E5" s="44" t="n">
        <v>291700</v>
      </c>
      <c r="F5" s="16" t="s">
        <v>125</v>
      </c>
    </row>
    <row r="6" customFormat="false" ht="19.5" hidden="false" customHeight="true" outlineLevel="0" collapsed="false">
      <c r="B6" s="29" t="s">
        <v>126</v>
      </c>
      <c r="C6" s="42" t="n">
        <v>87400</v>
      </c>
      <c r="D6" s="42" t="n">
        <v>153767</v>
      </c>
      <c r="E6" s="42" t="n">
        <v>127848</v>
      </c>
      <c r="F6" s="11" t="s">
        <v>127</v>
      </c>
    </row>
    <row r="7" customFormat="false" ht="19.5" hidden="false" customHeight="true" outlineLevel="0" collapsed="false">
      <c r="B7" s="27" t="s">
        <v>29</v>
      </c>
      <c r="C7" s="44" t="n">
        <v>4600</v>
      </c>
      <c r="D7" s="44" t="n">
        <v>64200</v>
      </c>
      <c r="E7" s="44" t="n">
        <v>60300</v>
      </c>
      <c r="F7" s="16" t="s">
        <v>128</v>
      </c>
    </row>
    <row r="8" customFormat="false" ht="19.5" hidden="false" customHeight="true" outlineLevel="0" collapsed="false">
      <c r="B8" s="4" t="s">
        <v>129</v>
      </c>
      <c r="C8" s="4"/>
      <c r="D8" s="4"/>
      <c r="E8" s="4"/>
      <c r="F8" s="4"/>
    </row>
    <row r="9" customFormat="false" ht="19.5" hidden="false" customHeight="true" outlineLevel="0" collapsed="false">
      <c r="B9" s="27" t="s">
        <v>130</v>
      </c>
      <c r="C9" s="44" t="n">
        <v>0</v>
      </c>
      <c r="D9" s="44" t="n">
        <v>86764</v>
      </c>
      <c r="E9" s="44" t="n">
        <v>363869</v>
      </c>
      <c r="F9" s="16" t="s">
        <v>131</v>
      </c>
    </row>
    <row r="10" customFormat="false" ht="19.5" hidden="false" customHeight="true" outlineLevel="0" collapsed="false">
      <c r="B10" s="29" t="s">
        <v>25</v>
      </c>
      <c r="C10" s="50" t="s">
        <v>132</v>
      </c>
      <c r="D10" s="34" t="n">
        <v>0.495</v>
      </c>
      <c r="E10" s="34" t="n">
        <v>1.247</v>
      </c>
      <c r="F10" s="11" t="s">
        <v>133</v>
      </c>
    </row>
    <row r="11" customFormat="false" ht="19.5" hidden="false" customHeight="true" outlineLevel="0" collapsed="false">
      <c r="B11" s="27" t="s">
        <v>134</v>
      </c>
      <c r="C11" s="44" t="n">
        <v>4000</v>
      </c>
      <c r="D11" s="44" t="n">
        <v>11000</v>
      </c>
      <c r="E11" s="44" t="n">
        <v>50000</v>
      </c>
      <c r="F11" s="16" t="s">
        <v>135</v>
      </c>
    </row>
    <row r="12" customFormat="false" ht="19.5" hidden="false" customHeight="true" outlineLevel="0" collapsed="false">
      <c r="B12" s="4" t="s">
        <v>136</v>
      </c>
      <c r="C12" s="4"/>
      <c r="D12" s="4"/>
      <c r="E12" s="4"/>
      <c r="F12" s="4"/>
    </row>
    <row r="13" customFormat="false" ht="19.5" hidden="false" customHeight="true" outlineLevel="0" collapsed="false">
      <c r="B13" s="27" t="s">
        <v>96</v>
      </c>
      <c r="C13" s="50" t="s">
        <v>132</v>
      </c>
      <c r="D13" s="50" t="s">
        <v>132</v>
      </c>
      <c r="E13" s="50" t="s">
        <v>132</v>
      </c>
      <c r="F13" s="16" t="s">
        <v>137</v>
      </c>
    </row>
    <row r="14" customFormat="false" ht="19.5" hidden="false" customHeight="true" outlineLevel="0" collapsed="false">
      <c r="B14" s="29" t="s">
        <v>138</v>
      </c>
      <c r="C14" s="50" t="s">
        <v>132</v>
      </c>
      <c r="D14" s="50" t="s">
        <v>132</v>
      </c>
      <c r="E14" s="50" t="s">
        <v>132</v>
      </c>
      <c r="F14" s="11" t="s">
        <v>139</v>
      </c>
    </row>
    <row r="15" customFormat="false" ht="19.5" hidden="false" customHeight="true" outlineLevel="0" collapsed="false">
      <c r="B15" s="27" t="s">
        <v>94</v>
      </c>
      <c r="C15" s="50" t="s">
        <v>132</v>
      </c>
      <c r="D15" s="50" t="s">
        <v>132</v>
      </c>
      <c r="E15" s="50" t="s">
        <v>132</v>
      </c>
      <c r="F15" s="16" t="s">
        <v>140</v>
      </c>
    </row>
    <row r="16" customFormat="false" ht="19.5" hidden="false" customHeight="true" outlineLevel="0" collapsed="false">
      <c r="B16" s="4" t="s">
        <v>141</v>
      </c>
      <c r="C16" s="4"/>
      <c r="D16" s="4"/>
      <c r="E16" s="4"/>
      <c r="F16" s="4"/>
    </row>
    <row r="17" customFormat="false" ht="19.5" hidden="false" customHeight="true" outlineLevel="0" collapsed="false">
      <c r="B17" s="27" t="s">
        <v>142</v>
      </c>
      <c r="C17" s="50" t="s">
        <v>132</v>
      </c>
      <c r="D17" s="50" t="s">
        <v>132</v>
      </c>
      <c r="E17" s="44" t="n">
        <v>363869</v>
      </c>
      <c r="F17" s="16" t="s">
        <v>143</v>
      </c>
    </row>
    <row r="18" customFormat="false" ht="19.5" hidden="false" customHeight="true" outlineLevel="0" collapsed="false">
      <c r="B18" s="29" t="s">
        <v>144</v>
      </c>
      <c r="C18" s="50" t="s">
        <v>132</v>
      </c>
      <c r="D18" s="50" t="s">
        <v>132</v>
      </c>
      <c r="E18" s="50" t="s">
        <v>132</v>
      </c>
      <c r="F18" s="11" t="s">
        <v>145</v>
      </c>
    </row>
  </sheetData>
  <mergeCells count="5">
    <mergeCell ref="B1:F1"/>
    <mergeCell ref="B4:F4"/>
    <mergeCell ref="B8:F8"/>
    <mergeCell ref="B12:F12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A"/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27.75" hidden="false" customHeight="true" outlineLevel="0" collapsed="false">
      <c r="B1" s="26" t="s">
        <v>146</v>
      </c>
      <c r="C1" s="26"/>
      <c r="D1" s="26"/>
      <c r="E1" s="26"/>
      <c r="F1" s="26"/>
      <c r="G1" s="26"/>
    </row>
    <row r="2" customFormat="false" ht="7.5" hidden="false" customHeight="true" outlineLevel="0" collapsed="false"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B3" s="5" t="s">
        <v>101</v>
      </c>
      <c r="C3" s="5" t="s">
        <v>56</v>
      </c>
      <c r="D3" s="5" t="s">
        <v>4</v>
      </c>
      <c r="E3" s="5" t="s">
        <v>5</v>
      </c>
      <c r="F3" s="5" t="s">
        <v>7</v>
      </c>
      <c r="G3" s="5" t="s">
        <v>147</v>
      </c>
    </row>
    <row r="4" customFormat="false" ht="19.5" hidden="false" customHeight="true" outlineLevel="0" collapsed="false">
      <c r="B4" s="4" t="s">
        <v>148</v>
      </c>
      <c r="C4" s="4"/>
      <c r="D4" s="4"/>
      <c r="E4" s="4"/>
      <c r="F4" s="4"/>
      <c r="G4" s="4"/>
    </row>
    <row r="5" customFormat="false" ht="19.5" hidden="false" customHeight="true" outlineLevel="0" collapsed="false">
      <c r="B5" s="27" t="s">
        <v>130</v>
      </c>
      <c r="C5" s="44" t="n">
        <v>0</v>
      </c>
      <c r="D5" s="44" t="n">
        <v>86764</v>
      </c>
      <c r="E5" s="44" t="n">
        <v>363869</v>
      </c>
      <c r="F5" s="18" t="s">
        <v>23</v>
      </c>
      <c r="G5" s="16" t="s">
        <v>149</v>
      </c>
    </row>
    <row r="6" customFormat="false" ht="19.5" hidden="false" customHeight="true" outlineLevel="0" collapsed="false">
      <c r="B6" s="29" t="s">
        <v>25</v>
      </c>
      <c r="C6" s="51" t="s">
        <v>132</v>
      </c>
      <c r="D6" s="34" t="n">
        <v>0.495</v>
      </c>
      <c r="E6" s="34" t="n">
        <v>1.247</v>
      </c>
      <c r="F6" s="18" t="s">
        <v>23</v>
      </c>
      <c r="G6" s="11" t="s">
        <v>150</v>
      </c>
    </row>
    <row r="7" customFormat="false" ht="19.5" hidden="false" customHeight="true" outlineLevel="0" collapsed="false">
      <c r="B7" s="27" t="s">
        <v>151</v>
      </c>
      <c r="C7" s="52" t="n">
        <v>0.029</v>
      </c>
      <c r="D7" s="52" t="n">
        <v>0.059</v>
      </c>
      <c r="E7" s="52" t="n">
        <v>0.191</v>
      </c>
      <c r="F7" s="18" t="s">
        <v>23</v>
      </c>
      <c r="G7" s="16" t="s">
        <v>152</v>
      </c>
    </row>
    <row r="8" customFormat="false" ht="19.5" hidden="false" customHeight="true" outlineLevel="0" collapsed="false">
      <c r="B8" s="29" t="s">
        <v>153</v>
      </c>
      <c r="C8" s="42" t="n">
        <v>35.3</v>
      </c>
      <c r="D8" s="42" t="n">
        <v>15.9</v>
      </c>
      <c r="E8" s="34" t="n">
        <v>5.8</v>
      </c>
      <c r="F8" s="18" t="s">
        <v>23</v>
      </c>
      <c r="G8" s="11" t="s">
        <v>154</v>
      </c>
    </row>
    <row r="9" customFormat="false" ht="19.5" hidden="false" customHeight="true" outlineLevel="0" collapsed="false">
      <c r="B9" s="4" t="s">
        <v>155</v>
      </c>
      <c r="C9" s="4"/>
      <c r="D9" s="4"/>
      <c r="E9" s="4"/>
      <c r="F9" s="4"/>
      <c r="G9" s="4"/>
    </row>
    <row r="10" customFormat="false" ht="19.5" hidden="false" customHeight="true" outlineLevel="0" collapsed="false">
      <c r="B10" s="29" t="s">
        <v>86</v>
      </c>
      <c r="C10" s="51" t="s">
        <v>132</v>
      </c>
      <c r="D10" s="51" t="s">
        <v>132</v>
      </c>
      <c r="E10" s="51" t="s">
        <v>132</v>
      </c>
      <c r="F10" s="38" t="s">
        <v>87</v>
      </c>
      <c r="G10" s="11" t="s">
        <v>156</v>
      </c>
    </row>
    <row r="11" customFormat="false" ht="19.5" hidden="false" customHeight="true" outlineLevel="0" collapsed="false">
      <c r="B11" s="27" t="s">
        <v>157</v>
      </c>
      <c r="C11" s="51" t="s">
        <v>132</v>
      </c>
      <c r="D11" s="51" t="s">
        <v>132</v>
      </c>
      <c r="E11" s="51" t="s">
        <v>132</v>
      </c>
      <c r="F11" s="38" t="s">
        <v>87</v>
      </c>
      <c r="G11" s="16" t="s">
        <v>158</v>
      </c>
    </row>
    <row r="12" customFormat="false" ht="19.5" hidden="false" customHeight="true" outlineLevel="0" collapsed="false">
      <c r="B12" s="29" t="s">
        <v>89</v>
      </c>
      <c r="C12" s="51" t="s">
        <v>132</v>
      </c>
      <c r="D12" s="51" t="s">
        <v>132</v>
      </c>
      <c r="E12" s="51" t="s">
        <v>132</v>
      </c>
      <c r="F12" s="38" t="s">
        <v>87</v>
      </c>
      <c r="G12" s="11" t="s">
        <v>159</v>
      </c>
    </row>
    <row r="13" customFormat="false" ht="19.5" hidden="false" customHeight="true" outlineLevel="0" collapsed="false">
      <c r="B13" s="27" t="s">
        <v>91</v>
      </c>
      <c r="C13" s="51" t="s">
        <v>132</v>
      </c>
      <c r="D13" s="51" t="s">
        <v>132</v>
      </c>
      <c r="E13" s="51" t="s">
        <v>132</v>
      </c>
      <c r="F13" s="38" t="s">
        <v>87</v>
      </c>
      <c r="G13" s="16" t="s">
        <v>160</v>
      </c>
    </row>
    <row r="14" customFormat="false" ht="19.5" hidden="false" customHeight="true" outlineLevel="0" collapsed="false">
      <c r="B14" s="4" t="s">
        <v>161</v>
      </c>
      <c r="C14" s="4"/>
      <c r="D14" s="4"/>
      <c r="E14" s="4"/>
      <c r="F14" s="4"/>
      <c r="G14" s="4"/>
    </row>
    <row r="15" customFormat="false" ht="19.5" hidden="false" customHeight="true" outlineLevel="0" collapsed="false">
      <c r="B15" s="27" t="s">
        <v>162</v>
      </c>
      <c r="C15" s="51" t="s">
        <v>132</v>
      </c>
      <c r="D15" s="51" t="s">
        <v>132</v>
      </c>
      <c r="E15" s="51" t="s">
        <v>132</v>
      </c>
      <c r="F15" s="38" t="s">
        <v>87</v>
      </c>
      <c r="G15" s="16" t="s">
        <v>163</v>
      </c>
    </row>
    <row r="16" customFormat="false" ht="19.5" hidden="false" customHeight="true" outlineLevel="0" collapsed="false">
      <c r="B16" s="29" t="s">
        <v>164</v>
      </c>
      <c r="C16" s="51" t="s">
        <v>132</v>
      </c>
      <c r="D16" s="51" t="s">
        <v>132</v>
      </c>
      <c r="E16" s="51" t="s">
        <v>132</v>
      </c>
      <c r="F16" s="38" t="s">
        <v>87</v>
      </c>
      <c r="G16" s="11" t="s">
        <v>165</v>
      </c>
    </row>
    <row r="17" customFormat="false" ht="19.5" hidden="false" customHeight="true" outlineLevel="0" collapsed="false">
      <c r="B17" s="27" t="s">
        <v>166</v>
      </c>
      <c r="C17" s="51" t="s">
        <v>132</v>
      </c>
      <c r="D17" s="51" t="s">
        <v>132</v>
      </c>
      <c r="E17" s="53" t="s">
        <v>167</v>
      </c>
      <c r="F17" s="10" t="s">
        <v>12</v>
      </c>
      <c r="G17" s="16" t="s">
        <v>168</v>
      </c>
    </row>
    <row r="18" customFormat="false" ht="19.5" hidden="false" customHeight="true" outlineLevel="0" collapsed="false">
      <c r="B18" s="29" t="s">
        <v>169</v>
      </c>
      <c r="C18" s="51" t="s">
        <v>132</v>
      </c>
      <c r="D18" s="51" t="s">
        <v>132</v>
      </c>
      <c r="E18" s="51" t="s">
        <v>132</v>
      </c>
      <c r="F18" s="18" t="s">
        <v>23</v>
      </c>
      <c r="G18" s="11" t="s">
        <v>170</v>
      </c>
    </row>
  </sheetData>
  <mergeCells count="4">
    <mergeCell ref="B1:G1"/>
    <mergeCell ref="B4:G4"/>
    <mergeCell ref="B9:G9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4E00"/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.75" hidden="false" customHeight="true" outlineLevel="0" collapsed="false">
      <c r="B1" s="26" t="s">
        <v>171</v>
      </c>
      <c r="C1" s="26"/>
      <c r="D1" s="26"/>
      <c r="E1" s="26"/>
    </row>
    <row r="2" customFormat="false" ht="7.5" hidden="false" customHeight="true" outlineLevel="0" collapsed="false">
      <c r="B2" s="3"/>
      <c r="C2" s="3"/>
      <c r="D2" s="3"/>
      <c r="E2" s="3"/>
    </row>
    <row r="3" customFormat="false" ht="15" hidden="false" customHeight="true" outlineLevel="0" collapsed="false">
      <c r="B3" s="5" t="s">
        <v>172</v>
      </c>
      <c r="C3" s="5" t="s">
        <v>173</v>
      </c>
      <c r="D3" s="5" t="s">
        <v>174</v>
      </c>
      <c r="E3" s="5" t="s">
        <v>175</v>
      </c>
    </row>
    <row r="4" customFormat="false" ht="30" hidden="false" customHeight="true" outlineLevel="0" collapsed="false">
      <c r="B4" s="6" t="s">
        <v>176</v>
      </c>
      <c r="C4" s="11" t="s">
        <v>177</v>
      </c>
      <c r="D4" s="11" t="s">
        <v>178</v>
      </c>
      <c r="E4" s="30" t="s">
        <v>179</v>
      </c>
    </row>
    <row r="5" customFormat="false" ht="30" hidden="false" customHeight="true" outlineLevel="0" collapsed="false">
      <c r="B5" s="12" t="s">
        <v>180</v>
      </c>
      <c r="C5" s="16" t="s">
        <v>181</v>
      </c>
      <c r="D5" s="16" t="s">
        <v>182</v>
      </c>
      <c r="E5" s="36" t="s">
        <v>183</v>
      </c>
    </row>
    <row r="6" customFormat="false" ht="30" hidden="false" customHeight="true" outlineLevel="0" collapsed="false">
      <c r="B6" s="6" t="s">
        <v>184</v>
      </c>
      <c r="C6" s="11" t="s">
        <v>185</v>
      </c>
      <c r="D6" s="11" t="s">
        <v>186</v>
      </c>
      <c r="E6" s="30" t="s">
        <v>179</v>
      </c>
    </row>
    <row r="7" customFormat="false" ht="30" hidden="false" customHeight="true" outlineLevel="0" collapsed="false">
      <c r="B7" s="12" t="s">
        <v>187</v>
      </c>
      <c r="C7" s="16" t="s">
        <v>188</v>
      </c>
      <c r="D7" s="16" t="s">
        <v>189</v>
      </c>
      <c r="E7" s="36" t="s">
        <v>190</v>
      </c>
    </row>
    <row r="8" customFormat="false" ht="30" hidden="false" customHeight="true" outlineLevel="0" collapsed="false">
      <c r="B8" s="6" t="s">
        <v>191</v>
      </c>
      <c r="C8" s="11" t="s">
        <v>192</v>
      </c>
      <c r="D8" s="11" t="s">
        <v>193</v>
      </c>
      <c r="E8" s="30" t="s">
        <v>194</v>
      </c>
    </row>
    <row r="9" customFormat="false" ht="30" hidden="false" customHeight="true" outlineLevel="0" collapsed="false">
      <c r="B9" s="12" t="s">
        <v>195</v>
      </c>
      <c r="C9" s="16" t="s">
        <v>196</v>
      </c>
      <c r="D9" s="16" t="s">
        <v>197</v>
      </c>
      <c r="E9" s="36" t="s">
        <v>179</v>
      </c>
    </row>
    <row r="10" customFormat="false" ht="30" hidden="false" customHeight="true" outlineLevel="0" collapsed="false">
      <c r="B10" s="6" t="s">
        <v>198</v>
      </c>
      <c r="C10" s="11" t="s">
        <v>199</v>
      </c>
      <c r="D10" s="11" t="s">
        <v>200</v>
      </c>
      <c r="E10" s="30" t="s">
        <v>179</v>
      </c>
    </row>
    <row r="11" customFormat="false" ht="30" hidden="false" customHeight="true" outlineLevel="0" collapsed="false">
      <c r="B11" s="12" t="s">
        <v>201</v>
      </c>
      <c r="C11" s="16" t="s">
        <v>202</v>
      </c>
      <c r="D11" s="16" t="s">
        <v>203</v>
      </c>
      <c r="E11" s="36" t="s">
        <v>179</v>
      </c>
    </row>
    <row r="12" customFormat="false" ht="30" hidden="false" customHeight="true" outlineLevel="0" collapsed="false">
      <c r="B12" s="6" t="s">
        <v>204</v>
      </c>
      <c r="C12" s="11" t="s">
        <v>205</v>
      </c>
      <c r="D12" s="11" t="s">
        <v>206</v>
      </c>
      <c r="E12" s="30" t="s">
        <v>194</v>
      </c>
    </row>
    <row r="13" customFormat="false" ht="30" hidden="false" customHeight="true" outlineLevel="0" collapsed="false">
      <c r="B13" s="12" t="s">
        <v>207</v>
      </c>
      <c r="C13" s="16" t="s">
        <v>208</v>
      </c>
      <c r="D13" s="16" t="s">
        <v>209</v>
      </c>
      <c r="E13" s="36" t="s">
        <v>210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4A"/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32"/>
  </cols>
  <sheetData>
    <row r="1" customFormat="false" ht="27.75" hidden="false" customHeight="true" outlineLevel="0" collapsed="false">
      <c r="B1" s="26" t="s">
        <v>211</v>
      </c>
      <c r="C1" s="26"/>
      <c r="D1" s="26"/>
      <c r="E1" s="26"/>
      <c r="F1" s="26"/>
    </row>
    <row r="2" customFormat="false" ht="7.5" hidden="false" customHeight="true" outlineLevel="0" collapsed="false">
      <c r="B2" s="3"/>
      <c r="C2" s="3"/>
      <c r="D2" s="3"/>
      <c r="E2" s="3"/>
      <c r="F2" s="3"/>
    </row>
    <row r="3" customFormat="false" ht="15" hidden="false" customHeight="true" outlineLevel="0" collapsed="false">
      <c r="B3" s="5" t="s">
        <v>101</v>
      </c>
      <c r="C3" s="5" t="s">
        <v>56</v>
      </c>
      <c r="D3" s="5" t="s">
        <v>4</v>
      </c>
      <c r="E3" s="5" t="s">
        <v>5</v>
      </c>
      <c r="F3" s="5" t="s">
        <v>212</v>
      </c>
    </row>
    <row r="4" customFormat="false" ht="15.75" hidden="false" customHeight="true" outlineLevel="0" collapsed="false">
      <c r="B4" s="4" t="s">
        <v>213</v>
      </c>
      <c r="C4" s="4"/>
      <c r="D4" s="4"/>
      <c r="E4" s="4"/>
      <c r="F4" s="4"/>
    </row>
    <row r="5" customFormat="false" ht="15.75" hidden="false" customHeight="true" outlineLevel="0" collapsed="false">
      <c r="B5" s="27" t="s">
        <v>214</v>
      </c>
      <c r="C5" s="44" t="n">
        <v>480000</v>
      </c>
      <c r="D5" s="44" t="n">
        <v>656331</v>
      </c>
      <c r="E5" s="44" t="n">
        <v>855151</v>
      </c>
      <c r="F5" s="16" t="s">
        <v>215</v>
      </c>
    </row>
    <row r="6" customFormat="false" ht="15.75" hidden="false" customHeight="true" outlineLevel="0" collapsed="false">
      <c r="B6" s="29" t="s">
        <v>104</v>
      </c>
      <c r="C6" s="42" t="n">
        <v>141300</v>
      </c>
      <c r="D6" s="42" t="n">
        <v>175300</v>
      </c>
      <c r="E6" s="42" t="n">
        <v>291700</v>
      </c>
      <c r="F6" s="11" t="s">
        <v>215</v>
      </c>
    </row>
    <row r="7" customFormat="false" ht="15.75" hidden="false" customHeight="true" outlineLevel="0" collapsed="false">
      <c r="B7" s="27" t="s">
        <v>216</v>
      </c>
      <c r="C7" s="44" t="n">
        <v>87400</v>
      </c>
      <c r="D7" s="44" t="n">
        <v>153767</v>
      </c>
      <c r="E7" s="44" t="n">
        <v>127848</v>
      </c>
      <c r="F7" s="16" t="s">
        <v>215</v>
      </c>
    </row>
    <row r="8" customFormat="false" ht="15.75" hidden="false" customHeight="true" outlineLevel="0" collapsed="false">
      <c r="B8" s="29" t="s">
        <v>217</v>
      </c>
      <c r="C8" s="30" t="s">
        <v>62</v>
      </c>
      <c r="D8" s="30" t="s">
        <v>62</v>
      </c>
      <c r="E8" s="42" t="n">
        <v>63100</v>
      </c>
      <c r="F8" s="11" t="s">
        <v>215</v>
      </c>
    </row>
    <row r="9" customFormat="false" ht="15.75" hidden="false" customHeight="true" outlineLevel="0" collapsed="false">
      <c r="B9" s="4" t="s">
        <v>218</v>
      </c>
      <c r="C9" s="4"/>
      <c r="D9" s="4"/>
      <c r="E9" s="4"/>
      <c r="F9" s="4"/>
    </row>
    <row r="10" customFormat="false" ht="15.75" hidden="false" customHeight="true" outlineLevel="0" collapsed="false">
      <c r="B10" s="29" t="s">
        <v>219</v>
      </c>
      <c r="C10" s="42" t="n">
        <v>136900</v>
      </c>
      <c r="D10" s="42" t="n">
        <v>187479</v>
      </c>
      <c r="E10" s="42" t="n">
        <v>261194</v>
      </c>
      <c r="F10" s="11" t="s">
        <v>215</v>
      </c>
    </row>
    <row r="11" customFormat="false" ht="15.75" hidden="false" customHeight="true" outlineLevel="0" collapsed="false">
      <c r="B11" s="27" t="s">
        <v>220</v>
      </c>
      <c r="C11" s="44" t="n">
        <v>28800</v>
      </c>
      <c r="D11" s="44" t="n">
        <v>39100</v>
      </c>
      <c r="E11" s="44" t="n">
        <v>60044</v>
      </c>
      <c r="F11" s="16" t="s">
        <v>221</v>
      </c>
    </row>
    <row r="12" customFormat="false" ht="15.75" hidden="false" customHeight="true" outlineLevel="0" collapsed="false">
      <c r="B12" s="29" t="s">
        <v>222</v>
      </c>
      <c r="C12" s="42" t="n">
        <v>108100</v>
      </c>
      <c r="D12" s="42" t="n">
        <v>148379</v>
      </c>
      <c r="E12" s="42" t="n">
        <v>201150</v>
      </c>
      <c r="F12" s="11" t="s">
        <v>215</v>
      </c>
    </row>
    <row r="13" customFormat="false" ht="15.75" hidden="false" customHeight="true" outlineLevel="0" collapsed="false">
      <c r="B13" s="27" t="s">
        <v>223</v>
      </c>
      <c r="C13" s="44" t="n">
        <v>4600</v>
      </c>
      <c r="D13" s="44" t="n">
        <v>64200</v>
      </c>
      <c r="E13" s="44" t="n">
        <v>60300</v>
      </c>
      <c r="F13" s="16" t="s">
        <v>215</v>
      </c>
    </row>
    <row r="14" customFormat="false" ht="15.75" hidden="false" customHeight="true" outlineLevel="0" collapsed="false">
      <c r="B14" s="4" t="s">
        <v>224</v>
      </c>
      <c r="C14" s="4"/>
      <c r="D14" s="4"/>
      <c r="E14" s="4"/>
      <c r="F14" s="4"/>
    </row>
    <row r="15" customFormat="false" ht="15.75" hidden="false" customHeight="true" outlineLevel="0" collapsed="false">
      <c r="B15" s="27" t="s">
        <v>225</v>
      </c>
      <c r="C15" s="44" t="n">
        <v>0</v>
      </c>
      <c r="D15" s="44" t="n">
        <v>86764</v>
      </c>
      <c r="E15" s="44" t="n">
        <v>363869</v>
      </c>
      <c r="F15" s="16" t="s">
        <v>215</v>
      </c>
    </row>
    <row r="16" customFormat="false" ht="15.75" hidden="false" customHeight="true" outlineLevel="0" collapsed="false">
      <c r="B16" s="4" t="s">
        <v>226</v>
      </c>
      <c r="C16" s="4"/>
      <c r="D16" s="4"/>
      <c r="E16" s="4"/>
      <c r="F16" s="4"/>
    </row>
    <row r="17" customFormat="false" ht="15.75" hidden="false" customHeight="true" outlineLevel="0" collapsed="false">
      <c r="B17" s="27" t="s">
        <v>227</v>
      </c>
      <c r="C17" s="46" t="s">
        <v>62</v>
      </c>
      <c r="D17" s="46" t="n">
        <f aca="false">(D5-C5)/C5</f>
        <v>0.36735625</v>
      </c>
      <c r="E17" s="46" t="n">
        <f aca="false">(E5-D5)/D5</f>
        <v>0.302926419748572</v>
      </c>
      <c r="F17" s="16" t="s">
        <v>228</v>
      </c>
    </row>
    <row r="18" customFormat="false" ht="15.75" hidden="false" customHeight="true" outlineLevel="0" collapsed="false">
      <c r="B18" s="29" t="s">
        <v>14</v>
      </c>
      <c r="C18" s="48" t="n">
        <f aca="false">C6/C5</f>
        <v>0.294375</v>
      </c>
      <c r="D18" s="48" t="n">
        <f aca="false">D6/D5</f>
        <v>0.267090842882631</v>
      </c>
      <c r="E18" s="48" t="n">
        <f aca="false">E6/E5</f>
        <v>0.341109347939721</v>
      </c>
      <c r="F18" s="11" t="s">
        <v>229</v>
      </c>
    </row>
    <row r="19" customFormat="false" ht="15.75" hidden="false" customHeight="true" outlineLevel="0" collapsed="false">
      <c r="B19" s="27" t="s">
        <v>230</v>
      </c>
      <c r="C19" s="46" t="n">
        <f aca="false">C10/C6</f>
        <v>0.968860580325548</v>
      </c>
      <c r="D19" s="46" t="n">
        <f aca="false">D10/D6</f>
        <v>1.06947518539646</v>
      </c>
      <c r="E19" s="46" t="n">
        <f aca="false">E10/E6</f>
        <v>0.895419952005485</v>
      </c>
      <c r="F19" s="16" t="s">
        <v>231</v>
      </c>
    </row>
    <row r="20" customFormat="false" ht="15.75" hidden="false" customHeight="true" outlineLevel="0" collapsed="false">
      <c r="B20" s="29" t="s">
        <v>232</v>
      </c>
      <c r="C20" s="54" t="s">
        <v>132</v>
      </c>
      <c r="D20" s="55" t="n">
        <f aca="false">D15/D6</f>
        <v>0.494945807187678</v>
      </c>
      <c r="E20" s="55" t="n">
        <f aca="false">E15/E6</f>
        <v>1.24740829619472</v>
      </c>
      <c r="F20" s="11" t="s">
        <v>233</v>
      </c>
    </row>
  </sheetData>
  <mergeCells count="5">
    <mergeCell ref="B1:F1"/>
    <mergeCell ref="B4:F4"/>
    <mergeCell ref="B9:F9"/>
    <mergeCell ref="B14:F1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2026-04-28T19:56:04Z</dcterms:created>
  <dc:creator>openpyxl</dc:creator>
  <dc:description/>
  <dc:language>en-US</dc:language>
  <cp:lastModifiedBy/>
  <dcterms:modified xsi:type="dcterms:W3CDTF">2026-04-28T19:57:44Z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